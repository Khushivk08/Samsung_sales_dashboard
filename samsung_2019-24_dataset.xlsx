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5EDDBCD-9088-47FA-994F-C2408FC95B23}" xr6:coauthVersionLast="47" xr6:coauthVersionMax="47" xr10:uidLastSave="{00000000-0000-0000-0000-000000000000}"/>
  <bookViews>
    <workbookView xWindow="-110" yWindow="-110" windowWidth="19420" windowHeight="10300" activeTab="3" xr2:uid="{2806F9E7-F33D-4110-A58B-4C7D45DE05DD}"/>
  </bookViews>
  <sheets>
    <sheet name="Expanded_Dataset (1)" sheetId="1" r:id="rId1"/>
    <sheet name="Sheet4" sheetId="5" r:id="rId2"/>
    <sheet name="Sheet1" sheetId="2" r:id="rId3"/>
    <sheet name="Sheet3" sheetId="4" r:id="rId4"/>
    <sheet name="Sheet5" sheetId="6" r:id="rId5"/>
    <sheet name="Sheet2" sheetId="3" r:id="rId6"/>
  </sheets>
  <definedNames>
    <definedName name="Slicer_5G_Capability">#N/A</definedName>
    <definedName name="Slicer_Quarter">#N/A</definedName>
    <definedName name="Slicer_Region">#N/A</definedName>
    <definedName name="Slicer_Year">#N/A</definedName>
  </definedNames>
  <calcPr calcId="0"/>
  <pivotCaches>
    <pivotCache cacheId="0" r:id="rId7"/>
    <pivotCache cacheId="7"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<sst xmlns="http://schemas.openxmlformats.org/spreadsheetml/2006/main" count="1553" uniqueCount="53">
  <si>
    <t>Year</t>
  </si>
  <si>
    <t>Quarter</t>
  </si>
  <si>
    <t>Product Model</t>
  </si>
  <si>
    <t>5G Capability</t>
  </si>
  <si>
    <t>Units Sold</t>
  </si>
  <si>
    <t>Revenue ($)</t>
  </si>
  <si>
    <t>Market Share (%)</t>
  </si>
  <si>
    <t>Regional 5G Coverage (%)</t>
  </si>
  <si>
    <t>5G Subscribers (millions)</t>
  </si>
  <si>
    <t>Avg 5G Speed (Mbps)</t>
  </si>
  <si>
    <t>Preference for 5G (%)</t>
  </si>
  <si>
    <t>Region</t>
  </si>
  <si>
    <t>Q1</t>
  </si>
  <si>
    <t>Galaxy S10</t>
  </si>
  <si>
    <t>No</t>
  </si>
  <si>
    <t>Asia-Pacific</t>
  </si>
  <si>
    <t>Galaxy Note10</t>
  </si>
  <si>
    <t>Latin America</t>
  </si>
  <si>
    <t>Galaxy S20</t>
  </si>
  <si>
    <t>Middle East &amp; Africa</t>
  </si>
  <si>
    <t>Galaxy Note20</t>
  </si>
  <si>
    <t>North America</t>
  </si>
  <si>
    <t>Galaxy S21</t>
  </si>
  <si>
    <t>Galaxy A32 5G</t>
  </si>
  <si>
    <t>Yes</t>
  </si>
  <si>
    <t>Galaxy A52 5G</t>
  </si>
  <si>
    <t>Galaxy A73 5G</t>
  </si>
  <si>
    <t>Europe</t>
  </si>
  <si>
    <t>Galaxy Z Fold2 5G</t>
  </si>
  <si>
    <t>Galaxy Z Flip3 5G</t>
  </si>
  <si>
    <t>Galaxy S22 5G</t>
  </si>
  <si>
    <t>Galaxy Z Fold3 5G</t>
  </si>
  <si>
    <t>Galaxy A14 5G</t>
  </si>
  <si>
    <t>Galaxy S23 5G</t>
  </si>
  <si>
    <t>Galaxy Z Flip5 5G</t>
  </si>
  <si>
    <t>Q2</t>
  </si>
  <si>
    <t>Q3</t>
  </si>
  <si>
    <t>Q4</t>
  </si>
  <si>
    <t>Grand Total</t>
  </si>
  <si>
    <t>Row Labels</t>
  </si>
  <si>
    <t>Sum of Revenue ($)</t>
  </si>
  <si>
    <t>Sum of 5G Subscribers (millions)</t>
  </si>
  <si>
    <t>Sum of Units Sold</t>
  </si>
  <si>
    <t>Sum of Market Share (%)</t>
  </si>
  <si>
    <t>Sum of Regional 5G Coverage (%)</t>
  </si>
  <si>
    <t>Sum of Avg 5G Speed (Mbps)</t>
  </si>
  <si>
    <t>Sum of Preference for 5G (%)</t>
  </si>
  <si>
    <t>(blank)</t>
  </si>
  <si>
    <t>Africa</t>
  </si>
  <si>
    <t>Total Revenue ($)</t>
  </si>
  <si>
    <t>Total 5G Subscribers (millions)</t>
  </si>
  <si>
    <t>Total Units Sold</t>
  </si>
  <si>
    <t>Count of 5G Capability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</si>
</sst>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rgb="FF441D6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4" fontId="1" fillId="0" borderId="0" applyFont="0" applyFill="0" applyBorder="0" applyAlignment="0" applyProtection="0"/>
  </cellStyleXfs>
  <cellXfs count="27">
    <xf numFmtId="0" fontId="0" fillId="0" borderId="0" xfId="0"/>
    <xf numFmtId="4" fontId="0" fillId="0" borderId="0" xfId="0" applyNumberFormat="1"/>
    <xf numFmtId="164" fontId="0" fillId="0" borderId="0" xfId="42" applyFont="1"/>
    <xf numFmtId="0" fontId="13" fillId="34" borderId="11" xfId="0" applyFont="1" applyFill="1" applyBorder="1"/>
    <xf numFmtId="0" fontId="13" fillId="34" borderId="10" xfId="0" applyFont="1" applyFill="1" applyBorder="1"/>
    <xf numFmtId="4" fontId="13" fillId="34" borderId="10" xfId="0" applyNumberFormat="1" applyFont="1" applyFill="1" applyBorder="1"/>
    <xf numFmtId="164" fontId="13" fillId="34" borderId="10" xfId="42" applyFont="1" applyFill="1" applyBorder="1"/>
    <xf numFmtId="0" fontId="13" fillId="34" borderId="12" xfId="0" applyFont="1" applyFill="1" applyBorder="1"/>
    <xf numFmtId="0" fontId="0" fillId="33" borderId="11" xfId="0" applyFill="1" applyBorder="1"/>
    <xf numFmtId="0" fontId="0" fillId="33" borderId="10" xfId="0" applyFill="1" applyBorder="1"/>
    <xf numFmtId="4" fontId="0" fillId="33" borderId="10" xfId="0" applyNumberFormat="1" applyFill="1" applyBorder="1"/>
    <xf numFmtId="164" fontId="0" fillId="33" borderId="10" xfId="42" applyFont="1" applyFill="1" applyBorder="1"/>
    <xf numFmtId="0" fontId="0" fillId="33" borderId="12" xfId="0" applyFill="1" applyBorder="1"/>
    <xf numFmtId="0" fontId="0" fillId="0" borderId="11" xfId="0" applyBorder="1"/>
    <xf numFmtId="0" fontId="0" fillId="0" borderId="10" xfId="0" applyBorder="1"/>
    <xf numFmtId="4" fontId="0" fillId="0" borderId="10" xfId="0" applyNumberFormat="1" applyBorder="1"/>
    <xf numFmtId="164" fontId="0" fillId="0" borderId="10" xfId="42" applyFont="1" applyBorder="1"/>
    <xf numFmtId="0" fontId="0" fillId="0" borderId="12" xfId="0" applyBorder="1"/>
    <xf numFmtId="0" fontId="0" fillId="0" borderId="0" xfId="0" pivotButton="1"/>
    <xf numFmtId="164" fontId="0" fillId="0" borderId="0" xfId="0" applyNumberFormat="1"/>
    <xf numFmtId="0" fontId="0" fillId="0" borderId="0" xfId="0" applyAlignment="1">
      <alignment horizontal="left"/>
    </xf>
    <xf numFmtId="2" fontId="0" fillId="0" borderId="0" xfId="0" applyNumberFormat="1"/>
    <xf numFmtId="0" fontId="13" fillId="34" borderId="0" xfId="0" applyFont="1" applyFill="1"/>
    <xf numFmtId="0" fontId="17" fillId="35" borderId="0" xfId="0" applyFont="1" applyFill="1"/>
    <xf numFmtId="164" fontId="17" fillId="35" borderId="0" xfId="0" applyNumberFormat="1" applyFont="1" applyFill="1"/>
    <xf numFmtId="4" fontId="17" fillId="35" borderId="0" xfId="0" applyNumberFormat="1" applyFont="1"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2" formatCode="0.00"/>
    </dxf>
    <dxf>
      <numFmt numFmtId="2" formatCode="0.00"/>
    </dxf>
    <dxf>
      <fill>
        <patternFill patternType="solid">
          <bgColor rgb="FF441D61"/>
        </patternFill>
      </fill>
    </dxf>
    <dxf>
      <fill>
        <patternFill patternType="solid">
          <bgColor rgb="FF441D61"/>
        </patternFill>
      </fill>
    </dxf>
    <dxf>
      <fill>
        <patternFill patternType="solid">
          <bgColor rgb="FF441D61"/>
        </patternFill>
      </fill>
    </dxf>
    <dxf>
      <font>
        <color theme="0"/>
      </font>
    </dxf>
    <dxf>
      <font>
        <color theme="0"/>
      </font>
    </dxf>
    <dxf>
      <font>
        <color theme="0"/>
      </font>
    </dxf>
    <dxf>
      <font>
        <color theme="0"/>
      </font>
    </dxf>
    <dxf>
      <fill>
        <patternFill patternType="solid">
          <bgColor rgb="FF441D61"/>
        </patternFill>
      </fill>
    </dxf>
    <dxf>
      <numFmt numFmtId="164" formatCode="_(&quot;$&quot;* #,##0.00_);_(&quot;$&quot;* \(#,##0.00\);_(&quot;$&quot;* &quot;-&quot;??_);_(@_)"/>
    </dxf>
    <dxf>
      <font>
        <color theme="0"/>
      </font>
      <fill>
        <patternFill patternType="solid">
          <fgColor indexed="64"/>
          <bgColor rgb="FF441D61"/>
        </patternFill>
      </fill>
    </dxf>
    <dxf>
      <font>
        <color theme="0"/>
      </font>
      <fill>
        <patternFill patternType="solid">
          <fgColor indexed="64"/>
          <bgColor rgb="FF441D61"/>
        </patternFill>
      </fill>
    </dxf>
    <dxf>
      <border diagonalUp="0" diagonalDown="0">
        <left/>
        <right/>
        <top style="thin">
          <color theme="4" tint="0.39997558519241921"/>
        </top>
        <bottom/>
        <vertical/>
        <horizontal/>
      </border>
    </dxf>
    <dxf>
      <border outline="0">
        <right style="thin">
          <color theme="4" tint="0.39997558519241921"/>
        </right>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color theme="0"/>
      </font>
      <fill>
        <patternFill>
          <bgColor theme="4" tint="-0.499984740745262"/>
        </patternFill>
      </fill>
      <border>
        <bottom style="thin">
          <color theme="7"/>
        </bottom>
        <vertical/>
        <horizontal/>
      </border>
    </dxf>
    <dxf>
      <font>
        <b val="0"/>
        <i val="0"/>
        <sz val="9"/>
        <color theme="1"/>
        <name val="Calibri"/>
        <family val="2"/>
        <scheme val="major"/>
      </font>
      <fill>
        <patternFill>
          <bgColor theme="4" tint="-0.499984740745262"/>
        </patternFill>
      </fill>
      <border>
        <left style="thin">
          <color theme="7"/>
        </left>
        <right style="thin">
          <color theme="7"/>
        </right>
        <top style="thin">
          <color theme="7"/>
        </top>
        <bottom style="thin">
          <color theme="7"/>
        </bottom>
        <vertical/>
        <horizontal/>
      </border>
    </dxf>
    <dxf>
      <font>
        <b/>
        <i val="0"/>
        <u val="none"/>
        <sz val="10"/>
        <color theme="0"/>
        <name val="Calibri"/>
        <family val="2"/>
        <scheme val="major"/>
      </font>
    </dxf>
    <dxf>
      <font>
        <b val="0"/>
        <i val="0"/>
        <u/>
        <sz val="9"/>
        <color rgb="FF002060"/>
        <name val="Calibri"/>
        <family val="2"/>
        <scheme val="minor"/>
      </font>
      <fill>
        <patternFill>
          <bgColor rgb="FF002060"/>
        </patternFill>
      </fill>
    </dxf>
  </dxfs>
  <tableStyles count="2" defaultTableStyle="TableStyleMedium2" defaultPivotStyle="PivotStyleLight16">
    <tableStyle name="Slicer Style 1" pivot="0" table="0" count="10" xr9:uid="{EE48094A-3A06-4CC6-A649-7DBB3245D7F4}">
      <tableStyleElement type="wholeTable" dxfId="19"/>
      <tableStyleElement type="headerRow" dxfId="18"/>
    </tableStyle>
    <tableStyle name="SlicerStyleDark4 2" pivot="0" table="0" count="10" xr9:uid="{CBFEB1FE-6467-4408-A362-8401F371D131}">
      <tableStyleElement type="wholeTable" dxfId="17"/>
      <tableStyleElement type="headerRow" dxfId="16"/>
    </tableStyle>
  </tableStyles>
  <colors>
    <mruColors>
      <color rgb="FF8522C2"/>
      <color rgb="FF461E64"/>
      <color rgb="FF441D61"/>
      <color rgb="FFFF99FF"/>
      <color rgb="FF271137"/>
      <color rgb="FFA58EFA"/>
      <color rgb="FF3A1953"/>
      <color rgb="FF000000"/>
      <color rgb="FF254379"/>
      <color rgb="FF1F4F7B"/>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2060"/>
            </patternFill>
          </fill>
          <border>
            <left style="thin">
              <color rgb="FF999999"/>
            </left>
            <right style="thin">
              <color rgb="FF999999"/>
            </right>
            <top style="thin">
              <color rgb="FF999999"/>
            </top>
            <bottom style="thin">
              <color rgb="FF999999"/>
            </bottom>
            <vertical/>
            <horizontal/>
          </border>
        </dxf>
        <dxf>
          <font>
            <color rgb="FF002060"/>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8" tint="-0.499984740745262"/>
              <bgColor theme="7"/>
            </patternFill>
          </fill>
          <border>
            <left style="thin">
              <color theme="7"/>
            </left>
            <right style="thin">
              <color theme="7"/>
            </right>
            <top style="thin">
              <color theme="7"/>
            </top>
            <bottom style="thin">
              <color theme="7"/>
            </bottom>
            <vertical/>
            <horizontal/>
          </border>
        </dxf>
        <dxf>
          <font>
            <color rgb="FF00206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tint="-4.9989318521683403E-2"/>
          </font>
          <fill>
            <patternFill>
              <bgColor rgb="FF002060"/>
            </patternFill>
          </fill>
        </dxf>
        <dxf>
          <font>
            <color theme="0" tint="-0.14996795556505021"/>
          </font>
          <fill>
            <patternFill>
              <bgColor theme="4" tint="-0.24994659260841701"/>
            </patternFill>
          </fill>
        </dxf>
        <dxf>
          <font>
            <color theme="0" tint="-4.9989318521683403E-2"/>
          </font>
          <fill>
            <patternFill>
              <bgColor rgb="FF7030A0"/>
            </patternFill>
          </fill>
        </dxf>
        <dxf>
          <font>
            <color theme="0" tint="-4.9989318521683403E-2"/>
          </font>
          <fill>
            <patternFill>
              <bgColor theme="4" tint="-0.24994659260841701"/>
            </patternFill>
          </fill>
        </dxf>
        <dxf>
          <font>
            <color theme="0"/>
          </font>
          <fill>
            <patternFill>
              <bgColor rgb="FF002060"/>
            </patternFill>
          </fill>
        </dxf>
        <dxf>
          <font>
            <u val="none"/>
            <color theme="0"/>
          </font>
          <fill>
            <patternFill>
              <bgColor rgb="FF7030A0"/>
            </patternFill>
          </fill>
        </dxf>
        <dxf>
          <font>
            <color theme="0" tint="-0.14996795556505021"/>
          </font>
          <fill>
            <patternFill>
              <bgColor rgb="FF002060"/>
            </patternFill>
          </fill>
        </dxf>
        <dxf>
          <font>
            <u val="none"/>
            <color theme="0" tint="-0.14993743705557422"/>
          </font>
          <fill>
            <patternFill>
              <bgColor theme="1"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pivotSource>
    <c:name>[samsung_2019-24_dataset.xlsx]Sheet2!PivotTable4</c:name>
    <c:fmtId val="13"/>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Sheet2!$A$4:$A$20</c:f>
              <c:strCache>
                <c:ptCount val="16"/>
                <c:pt idx="0">
                  <c:v>(blank)</c:v>
                </c:pt>
                <c:pt idx="1">
                  <c:v>Galaxy S10</c:v>
                </c:pt>
                <c:pt idx="2">
                  <c:v>Galaxy S21</c:v>
                </c:pt>
                <c:pt idx="3">
                  <c:v>Galaxy S20</c:v>
                </c:pt>
                <c:pt idx="4">
                  <c:v>Galaxy Note10</c:v>
                </c:pt>
                <c:pt idx="5">
                  <c:v>Galaxy Note20</c:v>
                </c:pt>
                <c:pt idx="6">
                  <c:v>Galaxy Z Fold2 5G</c:v>
                </c:pt>
                <c:pt idx="7">
                  <c:v>Galaxy A73 5G</c:v>
                </c:pt>
                <c:pt idx="8">
                  <c:v>Galaxy S23 5G</c:v>
                </c:pt>
                <c:pt idx="9">
                  <c:v>Galaxy Z Flip5 5G</c:v>
                </c:pt>
                <c:pt idx="10">
                  <c:v>Galaxy A52 5G</c:v>
                </c:pt>
                <c:pt idx="11">
                  <c:v>Galaxy S22 5G</c:v>
                </c:pt>
                <c:pt idx="12">
                  <c:v>Galaxy A32 5G</c:v>
                </c:pt>
                <c:pt idx="13">
                  <c:v>Galaxy Z Flip3 5G</c:v>
                </c:pt>
                <c:pt idx="14">
                  <c:v>Galaxy A14 5G</c:v>
                </c:pt>
                <c:pt idx="15">
                  <c:v>Galaxy Z Fold3 5G</c:v>
                </c:pt>
              </c:strCache>
            </c:strRef>
          </c:cat>
          <c:val>
            <c:numRef>
              <c:f>Sheet2!$B$4:$B$20</c:f>
              <c:numCache>
                <c:formatCode>General</c:formatCode>
                <c:ptCount val="16"/>
                <c:pt idx="1">
                  <c:v>34.349999999999987</c:v>
                </c:pt>
                <c:pt idx="2">
                  <c:v>35.65</c:v>
                </c:pt>
                <c:pt idx="3">
                  <c:v>39.319999999999993</c:v>
                </c:pt>
                <c:pt idx="4">
                  <c:v>41.820000000000007</c:v>
                </c:pt>
                <c:pt idx="5">
                  <c:v>47.539999999999992</c:v>
                </c:pt>
                <c:pt idx="6">
                  <c:v>98.219999999999985</c:v>
                </c:pt>
                <c:pt idx="7">
                  <c:v>102.39999999999999</c:v>
                </c:pt>
                <c:pt idx="8">
                  <c:v>108.58</c:v>
                </c:pt>
                <c:pt idx="9">
                  <c:v>112.14999999999999</c:v>
                </c:pt>
                <c:pt idx="10">
                  <c:v>112.92999999999999</c:v>
                </c:pt>
                <c:pt idx="11">
                  <c:v>113.77</c:v>
                </c:pt>
                <c:pt idx="12">
                  <c:v>118.86999999999998</c:v>
                </c:pt>
                <c:pt idx="13">
                  <c:v>119.72999999999998</c:v>
                </c:pt>
                <c:pt idx="14">
                  <c:v>124.93999999999997</c:v>
                </c:pt>
                <c:pt idx="15">
                  <c:v>127.55000000000001</c:v>
                </c:pt>
              </c:numCache>
            </c:numRef>
          </c:val>
          <c:extLst>
            <c:ext xmlns:c16="http://schemas.microsoft.com/office/drawing/2014/chart" uri="{C3380CC4-5D6E-409C-BE32-E72D297353CC}">
              <c16:uniqueId val="{00000000-A0A4-44B5-9CA7-EEB353309B40}"/>
            </c:ext>
          </c:extLst>
        </c:ser>
        <c:dLbls>
          <c:dLblPos val="outEnd"/>
          <c:showLegendKey val="0"/>
          <c:showVal val="1"/>
          <c:showCatName val="0"/>
          <c:showSerName val="0"/>
          <c:showPercent val="0"/>
          <c:showBubbleSize val="0"/>
        </c:dLbls>
        <c:gapWidth val="100"/>
        <c:axId val="1774270191"/>
        <c:axId val="1774273071"/>
      </c:barChart>
      <c:catAx>
        <c:axId val="177427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74273071"/>
        <c:crosses val="autoZero"/>
        <c:auto val="1"/>
        <c:lblAlgn val="ctr"/>
        <c:lblOffset val="100"/>
        <c:noMultiLvlLbl val="0"/>
      </c:catAx>
      <c:valAx>
        <c:axId val="1774273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74270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[samsung_2019-24_dataset.xlsx]Sheet2!PivotTable5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9.7222222222222224E-2"/>
          <c:w val="0.85530796150481192"/>
          <c:h val="0.53542322834645673"/>
        </c:manualLayout>
      </c:layout>
      <c:barChart>
        <c:barDir val="col"/>
        <c:grouping val="clustered"/>
        <c:varyColors val="0"/>
        <c:ser>
          <c:idx val="0"/>
          <c:order val="0"/>
          <c:tx>
            <c:strRef>
              <c:f>Sheet2!$C$33</c:f>
              <c:strCache>
                <c:ptCount val="1"/>
                <c:pt idx="0">
                  <c:v>Sum of Regional 5G Coverage (%)</c:v>
                </c:pt>
              </c:strCache>
            </c:strRef>
          </c:tx>
          <c:spPr>
            <a:solidFill>
              <a:schemeClr val="accent1">
                <a:shade val="76000"/>
              </a:schemeClr>
            </a:solidFill>
            <a:ln>
              <a:noFill/>
            </a:ln>
            <a:effectLst/>
          </c:spPr>
          <c:invertIfNegative val="0"/>
          <c:cat>
            <c:strRef>
              <c:f>Sheet2!$B$34:$B$50</c:f>
              <c:strCache>
                <c:ptCount val="16"/>
                <c:pt idx="0">
                  <c:v>Galaxy A14 5G</c:v>
                </c:pt>
                <c:pt idx="1">
                  <c:v>Galaxy A32 5G</c:v>
                </c:pt>
                <c:pt idx="2">
                  <c:v>Galaxy A52 5G</c:v>
                </c:pt>
                <c:pt idx="3">
                  <c:v>Galaxy A73 5G</c:v>
                </c:pt>
                <c:pt idx="4">
                  <c:v>Galaxy Note10</c:v>
                </c:pt>
                <c:pt idx="5">
                  <c:v>Galaxy Note20</c:v>
                </c:pt>
                <c:pt idx="6">
                  <c:v>Galaxy S10</c:v>
                </c:pt>
                <c:pt idx="7">
                  <c:v>Galaxy S20</c:v>
                </c:pt>
                <c:pt idx="8">
                  <c:v>Galaxy S21</c:v>
                </c:pt>
                <c:pt idx="9">
                  <c:v>Galaxy S22 5G</c:v>
                </c:pt>
                <c:pt idx="10">
                  <c:v>Galaxy S23 5G</c:v>
                </c:pt>
                <c:pt idx="11">
                  <c:v>Galaxy Z Flip3 5G</c:v>
                </c:pt>
                <c:pt idx="12">
                  <c:v>Galaxy Z Flip5 5G</c:v>
                </c:pt>
                <c:pt idx="13">
                  <c:v>Galaxy Z Fold2 5G</c:v>
                </c:pt>
                <c:pt idx="14">
                  <c:v>Galaxy Z Fold3 5G</c:v>
                </c:pt>
                <c:pt idx="15">
                  <c:v>(blank)</c:v>
                </c:pt>
              </c:strCache>
            </c:strRef>
          </c:cat>
          <c:val>
            <c:numRef>
              <c:f>Sheet2!$C$34:$C$50</c:f>
              <c:numCache>
                <c:formatCode>0.00</c:formatCode>
                <c:ptCount val="16"/>
                <c:pt idx="0">
                  <c:v>1707.6200000000001</c:v>
                </c:pt>
                <c:pt idx="1">
                  <c:v>1608.3400000000001</c:v>
                </c:pt>
                <c:pt idx="2">
                  <c:v>1653.13</c:v>
                </c:pt>
                <c:pt idx="3">
                  <c:v>1677.0600000000002</c:v>
                </c:pt>
                <c:pt idx="4">
                  <c:v>1447.8699999999997</c:v>
                </c:pt>
                <c:pt idx="5">
                  <c:v>1504.44</c:v>
                </c:pt>
                <c:pt idx="6">
                  <c:v>1300.0199999999998</c:v>
                </c:pt>
                <c:pt idx="7">
                  <c:v>1350.7299999999998</c:v>
                </c:pt>
                <c:pt idx="8">
                  <c:v>1452.5599999999997</c:v>
                </c:pt>
                <c:pt idx="9">
                  <c:v>1634.73</c:v>
                </c:pt>
                <c:pt idx="10">
                  <c:v>1869.7099999999998</c:v>
                </c:pt>
                <c:pt idx="11">
                  <c:v>1725.9499999999996</c:v>
                </c:pt>
                <c:pt idx="12">
                  <c:v>1720.57</c:v>
                </c:pt>
                <c:pt idx="13">
                  <c:v>1873.61</c:v>
                </c:pt>
                <c:pt idx="14">
                  <c:v>1552.3299999999997</c:v>
                </c:pt>
              </c:numCache>
            </c:numRef>
          </c:val>
          <c:extLst>
            <c:ext xmlns:c16="http://schemas.microsoft.com/office/drawing/2014/chart" uri="{C3380CC4-5D6E-409C-BE32-E72D297353CC}">
              <c16:uniqueId val="{00000000-E12D-4B5C-B826-DF5262296078}"/>
            </c:ext>
          </c:extLst>
        </c:ser>
        <c:ser>
          <c:idx val="1"/>
          <c:order val="1"/>
          <c:tx>
            <c:strRef>
              <c:f>Sheet2!$D$33</c:f>
              <c:strCache>
                <c:ptCount val="1"/>
                <c:pt idx="0">
                  <c:v>Sum of 5G Subscribers (millions)</c:v>
                </c:pt>
              </c:strCache>
            </c:strRef>
          </c:tx>
          <c:spPr>
            <a:solidFill>
              <a:schemeClr val="accent1">
                <a:tint val="77000"/>
              </a:schemeClr>
            </a:solidFill>
            <a:ln>
              <a:noFill/>
            </a:ln>
            <a:effectLst/>
          </c:spPr>
          <c:invertIfNegative val="0"/>
          <c:cat>
            <c:strRef>
              <c:f>Sheet2!$B$34:$B$50</c:f>
              <c:strCache>
                <c:ptCount val="16"/>
                <c:pt idx="0">
                  <c:v>Galaxy A14 5G</c:v>
                </c:pt>
                <c:pt idx="1">
                  <c:v>Galaxy A32 5G</c:v>
                </c:pt>
                <c:pt idx="2">
                  <c:v>Galaxy A52 5G</c:v>
                </c:pt>
                <c:pt idx="3">
                  <c:v>Galaxy A73 5G</c:v>
                </c:pt>
                <c:pt idx="4">
                  <c:v>Galaxy Note10</c:v>
                </c:pt>
                <c:pt idx="5">
                  <c:v>Galaxy Note20</c:v>
                </c:pt>
                <c:pt idx="6">
                  <c:v>Galaxy S10</c:v>
                </c:pt>
                <c:pt idx="7">
                  <c:v>Galaxy S20</c:v>
                </c:pt>
                <c:pt idx="8">
                  <c:v>Galaxy S21</c:v>
                </c:pt>
                <c:pt idx="9">
                  <c:v>Galaxy S22 5G</c:v>
                </c:pt>
                <c:pt idx="10">
                  <c:v>Galaxy S23 5G</c:v>
                </c:pt>
                <c:pt idx="11">
                  <c:v>Galaxy Z Flip3 5G</c:v>
                </c:pt>
                <c:pt idx="12">
                  <c:v>Galaxy Z Flip5 5G</c:v>
                </c:pt>
                <c:pt idx="13">
                  <c:v>Galaxy Z Fold2 5G</c:v>
                </c:pt>
                <c:pt idx="14">
                  <c:v>Galaxy Z Fold3 5G</c:v>
                </c:pt>
                <c:pt idx="15">
                  <c:v>(blank)</c:v>
                </c:pt>
              </c:strCache>
            </c:strRef>
          </c:cat>
          <c:val>
            <c:numRef>
              <c:f>Sheet2!$D$34:$D$50</c:f>
              <c:numCache>
                <c:formatCode>0.00</c:formatCode>
                <c:ptCount val="16"/>
                <c:pt idx="0">
                  <c:v>650.54999999999973</c:v>
                </c:pt>
                <c:pt idx="1">
                  <c:v>748.03000000000009</c:v>
                </c:pt>
                <c:pt idx="2">
                  <c:v>873.61999999999989</c:v>
                </c:pt>
                <c:pt idx="3">
                  <c:v>796.82999999999981</c:v>
                </c:pt>
                <c:pt idx="4">
                  <c:v>579.04999999999995</c:v>
                </c:pt>
                <c:pt idx="5">
                  <c:v>545.66</c:v>
                </c:pt>
                <c:pt idx="6">
                  <c:v>671.32</c:v>
                </c:pt>
                <c:pt idx="7">
                  <c:v>470.84</c:v>
                </c:pt>
                <c:pt idx="8">
                  <c:v>664.74000000000012</c:v>
                </c:pt>
                <c:pt idx="9">
                  <c:v>771.76999999999987</c:v>
                </c:pt>
                <c:pt idx="10">
                  <c:v>767.55000000000007</c:v>
                </c:pt>
                <c:pt idx="11">
                  <c:v>667.89</c:v>
                </c:pt>
                <c:pt idx="12">
                  <c:v>932.74999999999977</c:v>
                </c:pt>
                <c:pt idx="13">
                  <c:v>841.62000000000012</c:v>
                </c:pt>
                <c:pt idx="14">
                  <c:v>867.17000000000007</c:v>
                </c:pt>
              </c:numCache>
            </c:numRef>
          </c:val>
          <c:extLst>
            <c:ext xmlns:c16="http://schemas.microsoft.com/office/drawing/2014/chart" uri="{C3380CC4-5D6E-409C-BE32-E72D297353CC}">
              <c16:uniqueId val="{00000001-E12D-4B5C-B826-DF5262296078}"/>
            </c:ext>
          </c:extLst>
        </c:ser>
        <c:dLbls>
          <c:showLegendKey val="0"/>
          <c:showVal val="0"/>
          <c:showCatName val="0"/>
          <c:showSerName val="0"/>
          <c:showPercent val="0"/>
          <c:showBubbleSize val="0"/>
        </c:dLbls>
        <c:gapWidth val="219"/>
        <c:overlap val="-27"/>
        <c:axId val="1774286991"/>
        <c:axId val="1774270671"/>
      </c:barChart>
      <c:catAx>
        <c:axId val="177428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70671"/>
        <c:crosses val="autoZero"/>
        <c:auto val="1"/>
        <c:lblAlgn val="ctr"/>
        <c:lblOffset val="100"/>
        <c:noMultiLvlLbl val="0"/>
      </c:catAx>
      <c:valAx>
        <c:axId val="17742706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86991"/>
        <c:crosses val="autoZero"/>
        <c:crossBetween val="between"/>
      </c:valAx>
      <c:spPr>
        <a:noFill/>
        <a:ln>
          <a:noFill/>
        </a:ln>
        <a:effectLst/>
      </c:spPr>
    </c:plotArea>
    <c:legend>
      <c:legendPos val="r"/>
      <c:layout>
        <c:manualLayout>
          <c:xMode val="edge"/>
          <c:yMode val="edge"/>
          <c:x val="2.2222222222222223E-2"/>
          <c:y val="0.90856372120151663"/>
          <c:w val="0.96666666666666667"/>
          <c:h val="9.02799650043744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[samsung_2019-24_dataset.xlsx]Sheet2!PivotTable6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2037037037037036"/>
          <c:w val="0.86069116360454945"/>
          <c:h val="0.54315653251676876"/>
        </c:manualLayout>
      </c:layout>
      <c:barChart>
        <c:barDir val="col"/>
        <c:grouping val="clustered"/>
        <c:varyColors val="0"/>
        <c:ser>
          <c:idx val="0"/>
          <c:order val="0"/>
          <c:tx>
            <c:strRef>
              <c:f>Sheet2!$C$87</c:f>
              <c:strCache>
                <c:ptCount val="1"/>
                <c:pt idx="0">
                  <c:v>Sum of Avg 5G Speed (Mbps)</c:v>
                </c:pt>
              </c:strCache>
            </c:strRef>
          </c:tx>
          <c:spPr>
            <a:solidFill>
              <a:schemeClr val="accent1"/>
            </a:solidFill>
            <a:ln>
              <a:noFill/>
            </a:ln>
            <a:effectLst/>
          </c:spPr>
          <c:invertIfNegative val="0"/>
          <c:cat>
            <c:strRef>
              <c:f>Sheet2!$B$88:$B$94</c:f>
              <c:strCache>
                <c:ptCount val="6"/>
                <c:pt idx="0">
                  <c:v>Asia-Pacific</c:v>
                </c:pt>
                <c:pt idx="1">
                  <c:v>Europe</c:v>
                </c:pt>
                <c:pt idx="2">
                  <c:v>Latin America</c:v>
                </c:pt>
                <c:pt idx="3">
                  <c:v>Middle East &amp; Africa</c:v>
                </c:pt>
                <c:pt idx="4">
                  <c:v>North America</c:v>
                </c:pt>
                <c:pt idx="5">
                  <c:v>(blank)</c:v>
                </c:pt>
              </c:strCache>
            </c:strRef>
          </c:cat>
          <c:val>
            <c:numRef>
              <c:f>Sheet2!$C$88:$C$94</c:f>
              <c:numCache>
                <c:formatCode>General</c:formatCode>
                <c:ptCount val="6"/>
                <c:pt idx="0">
                  <c:v>12256.120000000003</c:v>
                </c:pt>
                <c:pt idx="1">
                  <c:v>12181.220000000005</c:v>
                </c:pt>
                <c:pt idx="2">
                  <c:v>12538.999999999998</c:v>
                </c:pt>
                <c:pt idx="3">
                  <c:v>13153.470000000001</c:v>
                </c:pt>
                <c:pt idx="4">
                  <c:v>14660.450000000003</c:v>
                </c:pt>
              </c:numCache>
            </c:numRef>
          </c:val>
          <c:extLst>
            <c:ext xmlns:c16="http://schemas.microsoft.com/office/drawing/2014/chart" uri="{C3380CC4-5D6E-409C-BE32-E72D297353CC}">
              <c16:uniqueId val="{00000000-D088-470C-A738-0FA942AEEFFE}"/>
            </c:ext>
          </c:extLst>
        </c:ser>
        <c:ser>
          <c:idx val="1"/>
          <c:order val="1"/>
          <c:tx>
            <c:strRef>
              <c:f>Sheet2!$D$87</c:f>
              <c:strCache>
                <c:ptCount val="1"/>
                <c:pt idx="0">
                  <c:v>Sum of Preference for 5G (%)</c:v>
                </c:pt>
              </c:strCache>
            </c:strRef>
          </c:tx>
          <c:spPr>
            <a:solidFill>
              <a:schemeClr val="accent2"/>
            </a:solidFill>
            <a:ln>
              <a:noFill/>
            </a:ln>
            <a:effectLst/>
          </c:spPr>
          <c:invertIfNegative val="0"/>
          <c:cat>
            <c:strRef>
              <c:f>Sheet2!$B$88:$B$94</c:f>
              <c:strCache>
                <c:ptCount val="6"/>
                <c:pt idx="0">
                  <c:v>Asia-Pacific</c:v>
                </c:pt>
                <c:pt idx="1">
                  <c:v>Europe</c:v>
                </c:pt>
                <c:pt idx="2">
                  <c:v>Latin America</c:v>
                </c:pt>
                <c:pt idx="3">
                  <c:v>Middle East &amp; Africa</c:v>
                </c:pt>
                <c:pt idx="4">
                  <c:v>North America</c:v>
                </c:pt>
                <c:pt idx="5">
                  <c:v>(blank)</c:v>
                </c:pt>
              </c:strCache>
            </c:strRef>
          </c:cat>
          <c:val>
            <c:numRef>
              <c:f>Sheet2!$D$88:$D$94</c:f>
              <c:numCache>
                <c:formatCode>General</c:formatCode>
                <c:ptCount val="6"/>
                <c:pt idx="0">
                  <c:v>4446.7099999999991</c:v>
                </c:pt>
                <c:pt idx="1">
                  <c:v>4697.2499999999991</c:v>
                </c:pt>
                <c:pt idx="2">
                  <c:v>4947.68</c:v>
                </c:pt>
                <c:pt idx="3">
                  <c:v>4738.5400000000009</c:v>
                </c:pt>
                <c:pt idx="4">
                  <c:v>5394.8599999999988</c:v>
                </c:pt>
              </c:numCache>
            </c:numRef>
          </c:val>
          <c:extLst>
            <c:ext xmlns:c16="http://schemas.microsoft.com/office/drawing/2014/chart" uri="{C3380CC4-5D6E-409C-BE32-E72D297353CC}">
              <c16:uniqueId val="{00000001-D088-470C-A738-0FA942AEEFFE}"/>
            </c:ext>
          </c:extLst>
        </c:ser>
        <c:dLbls>
          <c:showLegendKey val="0"/>
          <c:showVal val="0"/>
          <c:showCatName val="0"/>
          <c:showSerName val="0"/>
          <c:showPercent val="0"/>
          <c:showBubbleSize val="0"/>
        </c:dLbls>
        <c:gapWidth val="219"/>
        <c:overlap val="-27"/>
        <c:axId val="1774293231"/>
        <c:axId val="1553674191"/>
      </c:barChart>
      <c:catAx>
        <c:axId val="177429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674191"/>
        <c:crosses val="autoZero"/>
        <c:auto val="1"/>
        <c:lblAlgn val="ctr"/>
        <c:lblOffset val="100"/>
        <c:noMultiLvlLbl val="0"/>
      </c:catAx>
      <c:valAx>
        <c:axId val="155367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93231"/>
        <c:crosses val="autoZero"/>
        <c:crossBetween val="between"/>
      </c:valAx>
      <c:spPr>
        <a:noFill/>
        <a:ln>
          <a:noFill/>
        </a:ln>
        <a:effectLst/>
      </c:spPr>
    </c:plotArea>
    <c:legend>
      <c:legendPos val="r"/>
      <c:layout>
        <c:manualLayout>
          <c:xMode val="edge"/>
          <c:yMode val="edge"/>
          <c:x val="7.9160944801319827E-2"/>
          <c:y val="0.83008007171688947"/>
          <c:w val="0.9208390201224846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[samsung_2019-24_dataset.xlsx]Sheet2!PivotTable7</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prstMaterial="flat">
            <a:bevelT w="28575" h="41275" prst="coolSlan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prstMaterial="flat">
              <a:bevelT w="28575" h="41275" prst="coolSlan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85000"/>
                </a:schemeClr>
              </a:gs>
              <a:gs pos="100000">
                <a:schemeClr val="accent1">
                  <a:tint val="90000"/>
                  <a:alpha val="100000"/>
                  <a:satMod val="180000"/>
                </a:schemeClr>
              </a:gs>
            </a:gsLst>
            <a:path path="circle">
              <a:fillToRect l="100000" t="100000" r="100000" b="100000"/>
            </a:path>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prstMaterial="flat">
            <a:bevelT w="28575" h="41275" prst="coolSlan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flat" dir="t">
                <a:rot lat="0" lon="0" rev="3600000"/>
              </a:lightRig>
            </a:scene3d>
            <a:sp3d prstMaterial="flat">
              <a:bevelT w="28575" h="41275" prst="coolSlan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80336832895885"/>
          <c:y val="0.16245370370370371"/>
          <c:w val="0.79541885389326339"/>
          <c:h val="0.72088764946048411"/>
        </c:manualLayout>
      </c:layout>
      <c:lineChart>
        <c:grouping val="standard"/>
        <c:varyColors val="0"/>
        <c:ser>
          <c:idx val="0"/>
          <c:order val="0"/>
          <c:tx>
            <c:strRef>
              <c:f>Sheet2!$D$115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Sheet2!$C$116:$C$121</c:f>
              <c:strCache>
                <c:ptCount val="5"/>
                <c:pt idx="0">
                  <c:v>Q1</c:v>
                </c:pt>
                <c:pt idx="1">
                  <c:v>Q2</c:v>
                </c:pt>
                <c:pt idx="2">
                  <c:v>Q3</c:v>
                </c:pt>
                <c:pt idx="3">
                  <c:v>Q4</c:v>
                </c:pt>
                <c:pt idx="4">
                  <c:v>(blank)</c:v>
                </c:pt>
              </c:strCache>
            </c:strRef>
          </c:cat>
          <c:val>
            <c:numRef>
              <c:f>Sheet2!$D$116:$D$121</c:f>
              <c:numCache>
                <c:formatCode>#,##0.00</c:formatCode>
                <c:ptCount val="5"/>
                <c:pt idx="0">
                  <c:v>2989310</c:v>
                </c:pt>
                <c:pt idx="1">
                  <c:v>2764121</c:v>
                </c:pt>
                <c:pt idx="2">
                  <c:v>3170305</c:v>
                </c:pt>
                <c:pt idx="3">
                  <c:v>2828903</c:v>
                </c:pt>
              </c:numCache>
            </c:numRef>
          </c:val>
          <c:smooth val="0"/>
          <c:extLst>
            <c:ext xmlns:c16="http://schemas.microsoft.com/office/drawing/2014/chart" uri="{C3380CC4-5D6E-409C-BE32-E72D297353CC}">
              <c16:uniqueId val="{00000000-63FF-4EEA-9734-FF9CBDC984E6}"/>
            </c:ext>
          </c:extLst>
        </c:ser>
        <c:dLbls>
          <c:showLegendKey val="0"/>
          <c:showVal val="0"/>
          <c:showCatName val="0"/>
          <c:showSerName val="0"/>
          <c:showPercent val="0"/>
          <c:showBubbleSize val="0"/>
        </c:dLbls>
        <c:marker val="1"/>
        <c:smooth val="0"/>
        <c:axId val="1856349007"/>
        <c:axId val="1856342767"/>
      </c:lineChart>
      <c:catAx>
        <c:axId val="18563490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342767"/>
        <c:crosses val="autoZero"/>
        <c:auto val="1"/>
        <c:lblAlgn val="ctr"/>
        <c:lblOffset val="100"/>
        <c:noMultiLvlLbl val="0"/>
      </c:catAx>
      <c:valAx>
        <c:axId val="1856342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34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[samsung_2019-24_dataset.xlsx]Sheet2!PivotTable8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Sheet2!$C$140</c:f>
              <c:strCache>
                <c:ptCount val="1"/>
                <c:pt idx="0">
                  <c:v>Total</c:v>
                </c:pt>
              </c:strCache>
            </c:strRef>
          </c:tx>
          <c:spPr>
            <a:solidFill>
              <a:schemeClr val="accent1"/>
            </a:solidFill>
            <a:ln>
              <a:noFill/>
            </a:ln>
            <a:effectLst/>
          </c:spPr>
          <c:invertIfNegative val="0"/>
          <c:cat>
            <c:strRef>
              <c:f>Sheet2!$B$141:$B$157</c:f>
              <c:strCache>
                <c:ptCount val="16"/>
                <c:pt idx="0">
                  <c:v>Galaxy A14 5G</c:v>
                </c:pt>
                <c:pt idx="1">
                  <c:v>Galaxy S23 5G</c:v>
                </c:pt>
                <c:pt idx="2">
                  <c:v>Galaxy S22 5G</c:v>
                </c:pt>
                <c:pt idx="3">
                  <c:v>Galaxy A52 5G</c:v>
                </c:pt>
                <c:pt idx="4">
                  <c:v>Galaxy Z Fold2 5G</c:v>
                </c:pt>
                <c:pt idx="5">
                  <c:v>Galaxy A73 5G</c:v>
                </c:pt>
                <c:pt idx="6">
                  <c:v>Galaxy Z Flip3 5G</c:v>
                </c:pt>
                <c:pt idx="7">
                  <c:v>Galaxy A32 5G</c:v>
                </c:pt>
                <c:pt idx="8">
                  <c:v>Galaxy Z Fold3 5G</c:v>
                </c:pt>
                <c:pt idx="9">
                  <c:v>Galaxy Z Flip5 5G</c:v>
                </c:pt>
                <c:pt idx="10">
                  <c:v>Galaxy Note20</c:v>
                </c:pt>
                <c:pt idx="11">
                  <c:v>Galaxy S21</c:v>
                </c:pt>
                <c:pt idx="12">
                  <c:v>Galaxy Note10</c:v>
                </c:pt>
                <c:pt idx="13">
                  <c:v>Galaxy S10</c:v>
                </c:pt>
                <c:pt idx="14">
                  <c:v>Galaxy S20</c:v>
                </c:pt>
                <c:pt idx="15">
                  <c:v>(blank)</c:v>
                </c:pt>
              </c:strCache>
            </c:strRef>
          </c:cat>
          <c:val>
            <c:numRef>
              <c:f>Sheet2!$C$141:$C$157</c:f>
              <c:numCache>
                <c:formatCode>_("$"* #,##0.00_);_("$"* \(#,##0.00\);_("$"* "-"??_);_(@_)</c:formatCode>
                <c:ptCount val="16"/>
                <c:pt idx="0">
                  <c:v>913122400.15600002</c:v>
                </c:pt>
                <c:pt idx="1">
                  <c:v>894821860.85599947</c:v>
                </c:pt>
                <c:pt idx="2">
                  <c:v>870634307.43199968</c:v>
                </c:pt>
                <c:pt idx="3">
                  <c:v>863073279.52399993</c:v>
                </c:pt>
                <c:pt idx="4">
                  <c:v>824920697.29599988</c:v>
                </c:pt>
                <c:pt idx="5">
                  <c:v>773100349.06399965</c:v>
                </c:pt>
                <c:pt idx="6">
                  <c:v>765159008.18599999</c:v>
                </c:pt>
                <c:pt idx="7">
                  <c:v>716143586.88999999</c:v>
                </c:pt>
                <c:pt idx="8">
                  <c:v>681010938.3719995</c:v>
                </c:pt>
                <c:pt idx="9">
                  <c:v>629567815.69200003</c:v>
                </c:pt>
                <c:pt idx="10">
                  <c:v>617986264.64199996</c:v>
                </c:pt>
                <c:pt idx="11">
                  <c:v>606237536.37600005</c:v>
                </c:pt>
                <c:pt idx="12">
                  <c:v>574059943.65799999</c:v>
                </c:pt>
                <c:pt idx="13">
                  <c:v>522440384.89599997</c:v>
                </c:pt>
                <c:pt idx="14">
                  <c:v>514349659.22099984</c:v>
                </c:pt>
              </c:numCache>
            </c:numRef>
          </c:val>
          <c:extLst>
            <c:ext xmlns:c16="http://schemas.microsoft.com/office/drawing/2014/chart" uri="{C3380CC4-5D6E-409C-BE32-E72D297353CC}">
              <c16:uniqueId val="{00000001-061B-49D4-944B-0C2FFB5142D9}"/>
            </c:ext>
          </c:extLst>
        </c:ser>
        <c:dLbls>
          <c:showLegendKey val="0"/>
          <c:showVal val="0"/>
          <c:showCatName val="0"/>
          <c:showSerName val="0"/>
          <c:showPercent val="0"/>
          <c:showBubbleSize val="0"/>
        </c:dLbls>
        <c:gapWidth val="219"/>
        <c:overlap val="-27"/>
        <c:axId val="910871327"/>
        <c:axId val="910877087"/>
      </c:barChart>
      <c:catAx>
        <c:axId val="91087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77087"/>
        <c:crosses val="autoZero"/>
        <c:auto val="1"/>
        <c:lblAlgn val="ctr"/>
        <c:lblOffset val="100"/>
        <c:noMultiLvlLbl val="0"/>
      </c:catAx>
      <c:valAx>
        <c:axId val="91087708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7132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[samsung_2019-24_dataset.xlsx]Sheet2!PivotTable9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6486876640419947E-2"/>
              <c:y val="4.013597258675998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9857830271216094E-3"/>
              <c:y val="5.050634295713035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7.7132545931759547E-3"/>
              <c:y val="-5.82374599008457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437270341207349"/>
              <c:y val="-4.412037037037037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9092300962379444E-3"/>
              <c:y val="-5.090806357538640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9857830271216094E-3"/>
              <c:y val="5.050634295713035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7132545931759547E-3"/>
              <c:y val="-5.82374599008457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437270341207349"/>
              <c:y val="-4.412037037037037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9092300962379444E-3"/>
              <c:y val="-5.090806357538640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6486876640419947E-2"/>
              <c:y val="4.013597258675998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8.9857830271216094E-3"/>
              <c:y val="5.050634295713035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7.7132545931759547E-3"/>
              <c:y val="-5.82374599008457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2437270341207349"/>
              <c:y val="-4.412037037037037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7.9092300962379444E-3"/>
              <c:y val="-5.090806357538640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1.6486876640419947E-2"/>
              <c:y val="4.013597258675998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s>
    <c:plotArea>
      <c:layout/>
      <c:pieChart>
        <c:varyColors val="1"/>
        <c:ser>
          <c:idx val="0"/>
          <c:order val="0"/>
          <c:tx>
            <c:strRef>
              <c:f>Sheet2!$C$183</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42-4FF9-A0FB-B5BDB5D566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42-4FF9-A0FB-B5BDB5D566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42-4FF9-A0FB-B5BDB5D566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C42-4FF9-A0FB-B5BDB5D5667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C42-4FF9-A0FB-B5BDB5D5667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C42-4FF9-A0FB-B5BDB5D56679}"/>
              </c:ext>
            </c:extLst>
          </c:dPt>
          <c:dLbls>
            <c:dLbl>
              <c:idx val="0"/>
              <c:layout>
                <c:manualLayout>
                  <c:x val="-8.9857830271216094E-3"/>
                  <c:y val="5.050634295713035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42-4FF9-A0FB-B5BDB5D56679}"/>
                </c:ext>
              </c:extLst>
            </c:dLbl>
            <c:dLbl>
              <c:idx val="1"/>
              <c:layout>
                <c:manualLayout>
                  <c:x val="-7.7132545931759547E-3"/>
                  <c:y val="-5.82374599008457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42-4FF9-A0FB-B5BDB5D56679}"/>
                </c:ext>
              </c:extLst>
            </c:dLbl>
            <c:dLbl>
              <c:idx val="2"/>
              <c:layout>
                <c:manualLayout>
                  <c:x val="0.12437270341207349"/>
                  <c:y val="-4.412037037037037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42-4FF9-A0FB-B5BDB5D56679}"/>
                </c:ext>
              </c:extLst>
            </c:dLbl>
            <c:dLbl>
              <c:idx val="3"/>
              <c:layout>
                <c:manualLayout>
                  <c:x val="7.9092300962379444E-3"/>
                  <c:y val="-5.090806357538640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C42-4FF9-A0FB-B5BDB5D56679}"/>
                </c:ext>
              </c:extLst>
            </c:dLbl>
            <c:dLbl>
              <c:idx val="4"/>
              <c:layout>
                <c:manualLayout>
                  <c:x val="1.6486876640419947E-2"/>
                  <c:y val="4.013597258675998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2C42-4FF9-A0FB-B5BDB5D5667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Sheet2!$B$184:$B$190</c:f>
              <c:strCache>
                <c:ptCount val="6"/>
                <c:pt idx="0">
                  <c:v>Asia-Pacific</c:v>
                </c:pt>
                <c:pt idx="1">
                  <c:v>Europe</c:v>
                </c:pt>
                <c:pt idx="2">
                  <c:v>Latin America</c:v>
                </c:pt>
                <c:pt idx="3">
                  <c:v>Middle East &amp; Africa</c:v>
                </c:pt>
                <c:pt idx="4">
                  <c:v>North America</c:v>
                </c:pt>
                <c:pt idx="5">
                  <c:v>(blank)</c:v>
                </c:pt>
              </c:strCache>
            </c:strRef>
          </c:cat>
          <c:val>
            <c:numRef>
              <c:f>Sheet2!$C$184:$C$190</c:f>
              <c:numCache>
                <c:formatCode>_("$"* #,##0.00_);_("$"* \(#,##0.00\);_("$"* "-"??_);_(@_)</c:formatCode>
                <c:ptCount val="6"/>
                <c:pt idx="0">
                  <c:v>2085855500.1009994</c:v>
                </c:pt>
                <c:pt idx="1">
                  <c:v>2044056723.3779998</c:v>
                </c:pt>
                <c:pt idx="2">
                  <c:v>2442049419.2949996</c:v>
                </c:pt>
                <c:pt idx="3">
                  <c:v>1870852051.9140003</c:v>
                </c:pt>
                <c:pt idx="4">
                  <c:v>2323814337.5730004</c:v>
                </c:pt>
              </c:numCache>
            </c:numRef>
          </c:val>
          <c:extLst>
            <c:ext xmlns:c16="http://schemas.microsoft.com/office/drawing/2014/chart" uri="{C3380CC4-5D6E-409C-BE32-E72D297353CC}">
              <c16:uniqueId val="{0000000C-2C42-4FF9-A0FB-B5BDB5D5667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[samsung_2019-24_dataset.xlsx]Sheet5!PivotTable2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Sheet5!$H$11</c:f>
              <c:strCache>
                <c:ptCount val="1"/>
                <c:pt idx="0">
                  <c:v>Total</c:v>
                </c:pt>
              </c:strCache>
            </c:strRef>
          </c:tx>
          <c:spPr>
            <a:solidFill>
              <a:schemeClr val="accent1"/>
            </a:solidFill>
            <a:ln>
              <a:noFill/>
            </a:ln>
            <a:effectLst/>
          </c:spPr>
          <c:invertIfNegative val="0"/>
          <c:cat>
            <c:strRef>
              <c:f>Sheet5!$G$12:$G$16</c:f>
              <c:strCache>
                <c:ptCount val="4"/>
                <c:pt idx="0">
                  <c:v>Q1</c:v>
                </c:pt>
                <c:pt idx="1">
                  <c:v>Q2</c:v>
                </c:pt>
                <c:pt idx="2">
                  <c:v>Q3</c:v>
                </c:pt>
                <c:pt idx="3">
                  <c:v>Q4</c:v>
                </c:pt>
              </c:strCache>
            </c:strRef>
          </c:cat>
          <c:val>
            <c:numRef>
              <c:f>Sheet5!$H$12:$H$16</c:f>
              <c:numCache>
                <c:formatCode>General</c:formatCode>
                <c:ptCount val="4"/>
                <c:pt idx="0">
                  <c:v>90</c:v>
                </c:pt>
                <c:pt idx="1">
                  <c:v>90</c:v>
                </c:pt>
                <c:pt idx="2">
                  <c:v>90</c:v>
                </c:pt>
                <c:pt idx="3">
                  <c:v>90</c:v>
                </c:pt>
              </c:numCache>
            </c:numRef>
          </c:val>
          <c:extLst>
            <c:ext xmlns:c16="http://schemas.microsoft.com/office/drawing/2014/chart" uri="{C3380CC4-5D6E-409C-BE32-E72D297353CC}">
              <c16:uniqueId val="{00000000-EB0A-4C54-8762-242409F71B89}"/>
            </c:ext>
          </c:extLst>
        </c:ser>
        <c:dLbls>
          <c:showLegendKey val="0"/>
          <c:showVal val="0"/>
          <c:showCatName val="0"/>
          <c:showSerName val="0"/>
          <c:showPercent val="0"/>
          <c:showBubbleSize val="0"/>
        </c:dLbls>
        <c:gapWidth val="219"/>
        <c:overlap val="-27"/>
        <c:axId val="910871327"/>
        <c:axId val="910877087"/>
      </c:barChart>
      <c:catAx>
        <c:axId val="91087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77087"/>
        <c:crosses val="autoZero"/>
        <c:auto val="1"/>
        <c:lblAlgn val="ctr"/>
        <c:lblOffset val="100"/>
        <c:noMultiLvlLbl val="0"/>
      </c:catAx>
      <c:valAx>
        <c:axId val="91087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7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[samsung_2019-24_dataset.xlsx]Sheet5!PivotTable2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Sheet5!$H$11</c:f>
              <c:strCache>
                <c:ptCount val="1"/>
                <c:pt idx="0">
                  <c:v>Total</c:v>
                </c:pt>
              </c:strCache>
            </c:strRef>
          </c:tx>
          <c:spPr>
            <a:solidFill>
              <a:schemeClr val="accent1"/>
            </a:solidFill>
            <a:ln>
              <a:noFill/>
            </a:ln>
            <a:effectLst/>
          </c:spPr>
          <c:invertIfNegative val="0"/>
          <c:cat>
            <c:strRef>
              <c:f>Sheet5!$G$12:$G$16</c:f>
              <c:strCache>
                <c:ptCount val="4"/>
                <c:pt idx="0">
                  <c:v>Q1</c:v>
                </c:pt>
                <c:pt idx="1">
                  <c:v>Q2</c:v>
                </c:pt>
                <c:pt idx="2">
                  <c:v>Q3</c:v>
                </c:pt>
                <c:pt idx="3">
                  <c:v>Q4</c:v>
                </c:pt>
              </c:strCache>
            </c:strRef>
          </c:cat>
          <c:val>
            <c:numRef>
              <c:f>Sheet5!$H$12:$H$16</c:f>
              <c:numCache>
                <c:formatCode>General</c:formatCode>
                <c:ptCount val="4"/>
                <c:pt idx="0">
                  <c:v>90</c:v>
                </c:pt>
                <c:pt idx="1">
                  <c:v>90</c:v>
                </c:pt>
                <c:pt idx="2">
                  <c:v>90</c:v>
                </c:pt>
                <c:pt idx="3">
                  <c:v>90</c:v>
                </c:pt>
              </c:numCache>
            </c:numRef>
          </c:val>
          <c:extLst>
            <c:ext xmlns:c16="http://schemas.microsoft.com/office/drawing/2014/chart" uri="{C3380CC4-5D6E-409C-BE32-E72D297353CC}">
              <c16:uniqueId val="{00000000-F16F-40ED-ABB6-7D48A1FB505D}"/>
            </c:ext>
          </c:extLst>
        </c:ser>
        <c:dLbls>
          <c:showLegendKey val="0"/>
          <c:showVal val="0"/>
          <c:showCatName val="0"/>
          <c:showSerName val="0"/>
          <c:showPercent val="0"/>
          <c:showBubbleSize val="0"/>
        </c:dLbls>
        <c:gapWidth val="219"/>
        <c:overlap val="-27"/>
        <c:axId val="910871327"/>
        <c:axId val="910877087"/>
      </c:barChart>
      <c:catAx>
        <c:axId val="91087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77087"/>
        <c:crosses val="autoZero"/>
        <c:auto val="1"/>
        <c:lblAlgn val="ctr"/>
        <c:lblOffset val="100"/>
        <c:noMultiLvlLbl val="0"/>
      </c:catAx>
      <c:valAx>
        <c:axId val="91087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87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[samsung_2019-24_dataset.xlsx]Sheet2!PivotTable4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Sheet2!$A$4:$A$20</c:f>
              <c:strCache>
                <c:ptCount val="16"/>
                <c:pt idx="0">
                  <c:v>(blank)</c:v>
                </c:pt>
                <c:pt idx="1">
                  <c:v>Galaxy S10</c:v>
                </c:pt>
                <c:pt idx="2">
                  <c:v>Galaxy S21</c:v>
                </c:pt>
                <c:pt idx="3">
                  <c:v>Galaxy S20</c:v>
                </c:pt>
                <c:pt idx="4">
                  <c:v>Galaxy Note10</c:v>
                </c:pt>
                <c:pt idx="5">
                  <c:v>Galaxy Note20</c:v>
                </c:pt>
                <c:pt idx="6">
                  <c:v>Galaxy Z Fold2 5G</c:v>
                </c:pt>
                <c:pt idx="7">
                  <c:v>Galaxy A73 5G</c:v>
                </c:pt>
                <c:pt idx="8">
                  <c:v>Galaxy S23 5G</c:v>
                </c:pt>
                <c:pt idx="9">
                  <c:v>Galaxy Z Flip5 5G</c:v>
                </c:pt>
                <c:pt idx="10">
                  <c:v>Galaxy A52 5G</c:v>
                </c:pt>
                <c:pt idx="11">
                  <c:v>Galaxy S22 5G</c:v>
                </c:pt>
                <c:pt idx="12">
                  <c:v>Galaxy A32 5G</c:v>
                </c:pt>
                <c:pt idx="13">
                  <c:v>Galaxy Z Flip3 5G</c:v>
                </c:pt>
                <c:pt idx="14">
                  <c:v>Galaxy A14 5G</c:v>
                </c:pt>
                <c:pt idx="15">
                  <c:v>Galaxy Z Fold3 5G</c:v>
                </c:pt>
              </c:strCache>
            </c:strRef>
          </c:cat>
          <c:val>
            <c:numRef>
              <c:f>Sheet2!$B$4:$B$20</c:f>
              <c:numCache>
                <c:formatCode>General</c:formatCode>
                <c:ptCount val="16"/>
                <c:pt idx="1">
                  <c:v>34.349999999999987</c:v>
                </c:pt>
                <c:pt idx="2">
                  <c:v>35.65</c:v>
                </c:pt>
                <c:pt idx="3">
                  <c:v>39.319999999999993</c:v>
                </c:pt>
                <c:pt idx="4">
                  <c:v>41.820000000000007</c:v>
                </c:pt>
                <c:pt idx="5">
                  <c:v>47.539999999999992</c:v>
                </c:pt>
                <c:pt idx="6">
                  <c:v>98.219999999999985</c:v>
                </c:pt>
                <c:pt idx="7">
                  <c:v>102.39999999999999</c:v>
                </c:pt>
                <c:pt idx="8">
                  <c:v>108.58</c:v>
                </c:pt>
                <c:pt idx="9">
                  <c:v>112.14999999999999</c:v>
                </c:pt>
                <c:pt idx="10">
                  <c:v>112.92999999999999</c:v>
                </c:pt>
                <c:pt idx="11">
                  <c:v>113.77</c:v>
                </c:pt>
                <c:pt idx="12">
                  <c:v>118.86999999999998</c:v>
                </c:pt>
                <c:pt idx="13">
                  <c:v>119.72999999999998</c:v>
                </c:pt>
                <c:pt idx="14">
                  <c:v>124.93999999999997</c:v>
                </c:pt>
                <c:pt idx="15">
                  <c:v>127.55000000000001</c:v>
                </c:pt>
              </c:numCache>
            </c:numRef>
          </c:val>
          <c:extLst>
            <c:ext xmlns:c16="http://schemas.microsoft.com/office/drawing/2014/chart" uri="{C3380CC4-5D6E-409C-BE32-E72D297353CC}">
              <c16:uniqueId val="{00000000-01C6-4697-9C36-EDB7ED5411AE}"/>
            </c:ext>
          </c:extLst>
        </c:ser>
        <c:dLbls>
          <c:dLblPos val="outEnd"/>
          <c:showLegendKey val="0"/>
          <c:showVal val="1"/>
          <c:showCatName val="0"/>
          <c:showSerName val="0"/>
          <c:showPercent val="0"/>
          <c:showBubbleSize val="0"/>
        </c:dLbls>
        <c:gapWidth val="182"/>
        <c:overlap val="-50"/>
        <c:axId val="1774270191"/>
        <c:axId val="1774273071"/>
      </c:barChart>
      <c:catAx>
        <c:axId val="177427019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4273071"/>
        <c:crosses val="autoZero"/>
        <c:auto val="1"/>
        <c:lblAlgn val="ctr"/>
        <c:lblOffset val="100"/>
        <c:noMultiLvlLbl val="0"/>
      </c:catAx>
      <c:valAx>
        <c:axId val="177427307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427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61E64"/>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[samsung_2019-24_dataset.xlsx]Sheet2!PivotTable5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9.7222222222222224E-2"/>
          <c:w val="0.85530796150481192"/>
          <c:h val="0.53542322834645673"/>
        </c:manualLayout>
      </c:layout>
      <c:barChart>
        <c:barDir val="col"/>
        <c:grouping val="clustered"/>
        <c:varyColors val="0"/>
        <c:ser>
          <c:idx val="0"/>
          <c:order val="0"/>
          <c:tx>
            <c:strRef>
              <c:f>Sheet2!$C$33</c:f>
              <c:strCache>
                <c:ptCount val="1"/>
                <c:pt idx="0">
                  <c:v>Sum of Regional 5G Coverage (%)</c:v>
                </c:pt>
              </c:strCache>
            </c:strRef>
          </c:tx>
          <c:spPr>
            <a:solidFill>
              <a:schemeClr val="accent1">
                <a:shade val="76000"/>
              </a:schemeClr>
            </a:solidFill>
            <a:ln>
              <a:noFill/>
            </a:ln>
            <a:effectLst/>
          </c:spPr>
          <c:invertIfNegative val="0"/>
          <c:cat>
            <c:strRef>
              <c:f>Sheet2!$B$34:$B$50</c:f>
              <c:strCache>
                <c:ptCount val="16"/>
                <c:pt idx="0">
                  <c:v>Galaxy A14 5G</c:v>
                </c:pt>
                <c:pt idx="1">
                  <c:v>Galaxy A32 5G</c:v>
                </c:pt>
                <c:pt idx="2">
                  <c:v>Galaxy A52 5G</c:v>
                </c:pt>
                <c:pt idx="3">
                  <c:v>Galaxy A73 5G</c:v>
                </c:pt>
                <c:pt idx="4">
                  <c:v>Galaxy Note10</c:v>
                </c:pt>
                <c:pt idx="5">
                  <c:v>Galaxy Note20</c:v>
                </c:pt>
                <c:pt idx="6">
                  <c:v>Galaxy S10</c:v>
                </c:pt>
                <c:pt idx="7">
                  <c:v>Galaxy S20</c:v>
                </c:pt>
                <c:pt idx="8">
                  <c:v>Galaxy S21</c:v>
                </c:pt>
                <c:pt idx="9">
                  <c:v>Galaxy S22 5G</c:v>
                </c:pt>
                <c:pt idx="10">
                  <c:v>Galaxy S23 5G</c:v>
                </c:pt>
                <c:pt idx="11">
                  <c:v>Galaxy Z Flip3 5G</c:v>
                </c:pt>
                <c:pt idx="12">
                  <c:v>Galaxy Z Flip5 5G</c:v>
                </c:pt>
                <c:pt idx="13">
                  <c:v>Galaxy Z Fold2 5G</c:v>
                </c:pt>
                <c:pt idx="14">
                  <c:v>Galaxy Z Fold3 5G</c:v>
                </c:pt>
                <c:pt idx="15">
                  <c:v>(blank)</c:v>
                </c:pt>
              </c:strCache>
            </c:strRef>
          </c:cat>
          <c:val>
            <c:numRef>
              <c:f>Sheet2!$C$34:$C$50</c:f>
              <c:numCache>
                <c:formatCode>0.00</c:formatCode>
                <c:ptCount val="16"/>
                <c:pt idx="0">
                  <c:v>1707.6200000000001</c:v>
                </c:pt>
                <c:pt idx="1">
                  <c:v>1608.3400000000001</c:v>
                </c:pt>
                <c:pt idx="2">
                  <c:v>1653.13</c:v>
                </c:pt>
                <c:pt idx="3">
                  <c:v>1677.0600000000002</c:v>
                </c:pt>
                <c:pt idx="4">
                  <c:v>1447.8699999999997</c:v>
                </c:pt>
                <c:pt idx="5">
                  <c:v>1504.44</c:v>
                </c:pt>
                <c:pt idx="6">
                  <c:v>1300.0199999999998</c:v>
                </c:pt>
                <c:pt idx="7">
                  <c:v>1350.7299999999998</c:v>
                </c:pt>
                <c:pt idx="8">
                  <c:v>1452.5599999999997</c:v>
                </c:pt>
                <c:pt idx="9">
                  <c:v>1634.73</c:v>
                </c:pt>
                <c:pt idx="10">
                  <c:v>1869.7099999999998</c:v>
                </c:pt>
                <c:pt idx="11">
                  <c:v>1725.9499999999996</c:v>
                </c:pt>
                <c:pt idx="12">
                  <c:v>1720.57</c:v>
                </c:pt>
                <c:pt idx="13">
                  <c:v>1873.61</c:v>
                </c:pt>
                <c:pt idx="14">
                  <c:v>1552.3299999999997</c:v>
                </c:pt>
              </c:numCache>
            </c:numRef>
          </c:val>
          <c:extLst>
            <c:ext xmlns:c16="http://schemas.microsoft.com/office/drawing/2014/chart" uri="{C3380CC4-5D6E-409C-BE32-E72D297353CC}">
              <c16:uniqueId val="{00000000-745B-487C-A159-CA465B2CEF92}"/>
            </c:ext>
          </c:extLst>
        </c:ser>
        <c:ser>
          <c:idx val="1"/>
          <c:order val="1"/>
          <c:tx>
            <c:strRef>
              <c:f>Sheet2!$D$33</c:f>
              <c:strCache>
                <c:ptCount val="1"/>
                <c:pt idx="0">
                  <c:v>Sum of 5G Subscribers (millions)</c:v>
                </c:pt>
              </c:strCache>
            </c:strRef>
          </c:tx>
          <c:spPr>
            <a:solidFill>
              <a:schemeClr val="accent1">
                <a:tint val="77000"/>
              </a:schemeClr>
            </a:solidFill>
            <a:ln>
              <a:noFill/>
            </a:ln>
            <a:effectLst/>
          </c:spPr>
          <c:invertIfNegative val="0"/>
          <c:cat>
            <c:strRef>
              <c:f>Sheet2!$B$34:$B$50</c:f>
              <c:strCache>
                <c:ptCount val="16"/>
                <c:pt idx="0">
                  <c:v>Galaxy A14 5G</c:v>
                </c:pt>
                <c:pt idx="1">
                  <c:v>Galaxy A32 5G</c:v>
                </c:pt>
                <c:pt idx="2">
                  <c:v>Galaxy A52 5G</c:v>
                </c:pt>
                <c:pt idx="3">
                  <c:v>Galaxy A73 5G</c:v>
                </c:pt>
                <c:pt idx="4">
                  <c:v>Galaxy Note10</c:v>
                </c:pt>
                <c:pt idx="5">
                  <c:v>Galaxy Note20</c:v>
                </c:pt>
                <c:pt idx="6">
                  <c:v>Galaxy S10</c:v>
                </c:pt>
                <c:pt idx="7">
                  <c:v>Galaxy S20</c:v>
                </c:pt>
                <c:pt idx="8">
                  <c:v>Galaxy S21</c:v>
                </c:pt>
                <c:pt idx="9">
                  <c:v>Galaxy S22 5G</c:v>
                </c:pt>
                <c:pt idx="10">
                  <c:v>Galaxy S23 5G</c:v>
                </c:pt>
                <c:pt idx="11">
                  <c:v>Galaxy Z Flip3 5G</c:v>
                </c:pt>
                <c:pt idx="12">
                  <c:v>Galaxy Z Flip5 5G</c:v>
                </c:pt>
                <c:pt idx="13">
                  <c:v>Galaxy Z Fold2 5G</c:v>
                </c:pt>
                <c:pt idx="14">
                  <c:v>Galaxy Z Fold3 5G</c:v>
                </c:pt>
                <c:pt idx="15">
                  <c:v>(blank)</c:v>
                </c:pt>
              </c:strCache>
            </c:strRef>
          </c:cat>
          <c:val>
            <c:numRef>
              <c:f>Sheet2!$D$34:$D$50</c:f>
              <c:numCache>
                <c:formatCode>0.00</c:formatCode>
                <c:ptCount val="16"/>
                <c:pt idx="0">
                  <c:v>650.54999999999973</c:v>
                </c:pt>
                <c:pt idx="1">
                  <c:v>748.03000000000009</c:v>
                </c:pt>
                <c:pt idx="2">
                  <c:v>873.61999999999989</c:v>
                </c:pt>
                <c:pt idx="3">
                  <c:v>796.82999999999981</c:v>
                </c:pt>
                <c:pt idx="4">
                  <c:v>579.04999999999995</c:v>
                </c:pt>
                <c:pt idx="5">
                  <c:v>545.66</c:v>
                </c:pt>
                <c:pt idx="6">
                  <c:v>671.32</c:v>
                </c:pt>
                <c:pt idx="7">
                  <c:v>470.84</c:v>
                </c:pt>
                <c:pt idx="8">
                  <c:v>664.74000000000012</c:v>
                </c:pt>
                <c:pt idx="9">
                  <c:v>771.76999999999987</c:v>
                </c:pt>
                <c:pt idx="10">
                  <c:v>767.55000000000007</c:v>
                </c:pt>
                <c:pt idx="11">
                  <c:v>667.89</c:v>
                </c:pt>
                <c:pt idx="12">
                  <c:v>932.74999999999977</c:v>
                </c:pt>
                <c:pt idx="13">
                  <c:v>841.62000000000012</c:v>
                </c:pt>
                <c:pt idx="14">
                  <c:v>867.17000000000007</c:v>
                </c:pt>
              </c:numCache>
            </c:numRef>
          </c:val>
          <c:extLst>
            <c:ext xmlns:c16="http://schemas.microsoft.com/office/drawing/2014/chart" uri="{C3380CC4-5D6E-409C-BE32-E72D297353CC}">
              <c16:uniqueId val="{00000001-745B-487C-A159-CA465B2CEF92}"/>
            </c:ext>
          </c:extLst>
        </c:ser>
        <c:dLbls>
          <c:showLegendKey val="0"/>
          <c:showVal val="0"/>
          <c:showCatName val="0"/>
          <c:showSerName val="0"/>
          <c:showPercent val="0"/>
          <c:showBubbleSize val="0"/>
        </c:dLbls>
        <c:gapWidth val="219"/>
        <c:overlap val="-27"/>
        <c:axId val="1774286991"/>
        <c:axId val="1774270671"/>
      </c:barChart>
      <c:catAx>
        <c:axId val="177428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70671"/>
        <c:crosses val="autoZero"/>
        <c:auto val="1"/>
        <c:lblAlgn val="ctr"/>
        <c:lblOffset val="100"/>
        <c:noMultiLvlLbl val="0"/>
      </c:catAx>
      <c:valAx>
        <c:axId val="17742706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86991"/>
        <c:crosses val="autoZero"/>
        <c:crossBetween val="between"/>
      </c:valAx>
      <c:spPr>
        <a:noFill/>
        <a:ln>
          <a:noFill/>
        </a:ln>
        <a:effectLst/>
      </c:spPr>
    </c:plotArea>
    <c:legend>
      <c:legendPos val="r"/>
      <c:layout>
        <c:manualLayout>
          <c:xMode val="edge"/>
          <c:yMode val="edge"/>
          <c:x val="2.2222222222222223E-2"/>
          <c:y val="0.90856372120151663"/>
          <c:w val="0.96666666666666667"/>
          <c:h val="9.02799650043744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[samsung_2019-24_dataset.xlsx]Sheet2!PivotTable6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0.12037037037037036"/>
          <c:w val="0.86069116360454945"/>
          <c:h val="0.54315653251676876"/>
        </c:manualLayout>
      </c:layout>
      <c:barChart>
        <c:barDir val="col"/>
        <c:grouping val="clustered"/>
        <c:varyColors val="0"/>
        <c:ser>
          <c:idx val="0"/>
          <c:order val="0"/>
          <c:tx>
            <c:strRef>
              <c:f>Sheet2!$C$87</c:f>
              <c:strCache>
                <c:ptCount val="1"/>
                <c:pt idx="0">
                  <c:v>Sum of Avg 5G Speed (Mbps)</c:v>
                </c:pt>
              </c:strCache>
            </c:strRef>
          </c:tx>
          <c:spPr>
            <a:solidFill>
              <a:schemeClr val="accent1"/>
            </a:solidFill>
            <a:ln>
              <a:noFill/>
            </a:ln>
            <a:effectLst/>
          </c:spPr>
          <c:invertIfNegative val="0"/>
          <c:cat>
            <c:strRef>
              <c:f>Sheet2!$B$88:$B$94</c:f>
              <c:strCache>
                <c:ptCount val="6"/>
                <c:pt idx="0">
                  <c:v>Asia-Pacific</c:v>
                </c:pt>
                <c:pt idx="1">
                  <c:v>Europe</c:v>
                </c:pt>
                <c:pt idx="2">
                  <c:v>Latin America</c:v>
                </c:pt>
                <c:pt idx="3">
                  <c:v>Middle East &amp; Africa</c:v>
                </c:pt>
                <c:pt idx="4">
                  <c:v>North America</c:v>
                </c:pt>
                <c:pt idx="5">
                  <c:v>(blank)</c:v>
                </c:pt>
              </c:strCache>
            </c:strRef>
          </c:cat>
          <c:val>
            <c:numRef>
              <c:f>Sheet2!$C$88:$C$94</c:f>
              <c:numCache>
                <c:formatCode>General</c:formatCode>
                <c:ptCount val="6"/>
                <c:pt idx="0">
                  <c:v>12256.120000000003</c:v>
                </c:pt>
                <c:pt idx="1">
                  <c:v>12181.220000000005</c:v>
                </c:pt>
                <c:pt idx="2">
                  <c:v>12538.999999999998</c:v>
                </c:pt>
                <c:pt idx="3">
                  <c:v>13153.470000000001</c:v>
                </c:pt>
                <c:pt idx="4">
                  <c:v>14660.450000000003</c:v>
                </c:pt>
              </c:numCache>
            </c:numRef>
          </c:val>
          <c:extLst>
            <c:ext xmlns:c16="http://schemas.microsoft.com/office/drawing/2014/chart" uri="{C3380CC4-5D6E-409C-BE32-E72D297353CC}">
              <c16:uniqueId val="{00000000-AB62-4AA8-AE92-C1AB70A3C10B}"/>
            </c:ext>
          </c:extLst>
        </c:ser>
        <c:ser>
          <c:idx val="1"/>
          <c:order val="1"/>
          <c:tx>
            <c:strRef>
              <c:f>Sheet2!$D$87</c:f>
              <c:strCache>
                <c:ptCount val="1"/>
                <c:pt idx="0">
                  <c:v>Sum of Preference for 5G (%)</c:v>
                </c:pt>
              </c:strCache>
            </c:strRef>
          </c:tx>
          <c:spPr>
            <a:solidFill>
              <a:schemeClr val="accent2"/>
            </a:solidFill>
            <a:ln>
              <a:noFill/>
            </a:ln>
            <a:effectLst/>
          </c:spPr>
          <c:invertIfNegative val="0"/>
          <c:cat>
            <c:strRef>
              <c:f>Sheet2!$B$88:$B$94</c:f>
              <c:strCache>
                <c:ptCount val="6"/>
                <c:pt idx="0">
                  <c:v>Asia-Pacific</c:v>
                </c:pt>
                <c:pt idx="1">
                  <c:v>Europe</c:v>
                </c:pt>
                <c:pt idx="2">
                  <c:v>Latin America</c:v>
                </c:pt>
                <c:pt idx="3">
                  <c:v>Middle East &amp; Africa</c:v>
                </c:pt>
                <c:pt idx="4">
                  <c:v>North America</c:v>
                </c:pt>
                <c:pt idx="5">
                  <c:v>(blank)</c:v>
                </c:pt>
              </c:strCache>
            </c:strRef>
          </c:cat>
          <c:val>
            <c:numRef>
              <c:f>Sheet2!$D$88:$D$94</c:f>
              <c:numCache>
                <c:formatCode>General</c:formatCode>
                <c:ptCount val="6"/>
                <c:pt idx="0">
                  <c:v>4446.7099999999991</c:v>
                </c:pt>
                <c:pt idx="1">
                  <c:v>4697.2499999999991</c:v>
                </c:pt>
                <c:pt idx="2">
                  <c:v>4947.68</c:v>
                </c:pt>
                <c:pt idx="3">
                  <c:v>4738.5400000000009</c:v>
                </c:pt>
                <c:pt idx="4">
                  <c:v>5394.8599999999988</c:v>
                </c:pt>
              </c:numCache>
            </c:numRef>
          </c:val>
          <c:extLst>
            <c:ext xmlns:c16="http://schemas.microsoft.com/office/drawing/2014/chart" uri="{C3380CC4-5D6E-409C-BE32-E72D297353CC}">
              <c16:uniqueId val="{00000001-AB62-4AA8-AE92-C1AB70A3C10B}"/>
            </c:ext>
          </c:extLst>
        </c:ser>
        <c:dLbls>
          <c:showLegendKey val="0"/>
          <c:showVal val="0"/>
          <c:showCatName val="0"/>
          <c:showSerName val="0"/>
          <c:showPercent val="0"/>
          <c:showBubbleSize val="0"/>
        </c:dLbls>
        <c:gapWidth val="219"/>
        <c:overlap val="-27"/>
        <c:axId val="1774293231"/>
        <c:axId val="1553674191"/>
      </c:barChart>
      <c:catAx>
        <c:axId val="177429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674191"/>
        <c:crosses val="autoZero"/>
        <c:auto val="1"/>
        <c:lblAlgn val="ctr"/>
        <c:lblOffset val="100"/>
        <c:noMultiLvlLbl val="0"/>
      </c:catAx>
      <c:valAx>
        <c:axId val="155367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293231"/>
        <c:crosses val="autoZero"/>
        <c:crossBetween val="between"/>
      </c:valAx>
      <c:spPr>
        <a:noFill/>
        <a:ln>
          <a:noFill/>
        </a:ln>
        <a:effectLst/>
      </c:spPr>
    </c:plotArea>
    <c:legend>
      <c:legendPos val="r"/>
      <c:layout>
        <c:manualLayout>
          <c:xMode val="edge"/>
          <c:yMode val="edge"/>
          <c:x val="7.9160979877515317E-2"/>
          <c:y val="0.82002260134149918"/>
          <c:w val="0.92083902012248464"/>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[samsung_2019-24_dataset.xlsx]Sheet2!PivotTable7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80336832895885"/>
          <c:y val="0.16245370370370371"/>
          <c:w val="0.79541885389326339"/>
          <c:h val="0.72088764946048411"/>
        </c:manualLayout>
      </c:layout>
      <c:lineChart>
        <c:grouping val="standard"/>
        <c:varyColors val="0"/>
        <c:ser>
          <c:idx val="0"/>
          <c:order val="0"/>
          <c:tx>
            <c:strRef>
              <c:f>Sheet2!$D$115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Sheet2!$C$116:$C$121</c:f>
              <c:strCache>
                <c:ptCount val="5"/>
                <c:pt idx="0">
                  <c:v>Q1</c:v>
                </c:pt>
                <c:pt idx="1">
                  <c:v>Q2</c:v>
                </c:pt>
                <c:pt idx="2">
                  <c:v>Q3</c:v>
                </c:pt>
                <c:pt idx="3">
                  <c:v>Q4</c:v>
                </c:pt>
                <c:pt idx="4">
                  <c:v>(blank)</c:v>
                </c:pt>
              </c:strCache>
            </c:strRef>
          </c:cat>
          <c:val>
            <c:numRef>
              <c:f>Sheet2!$D$116:$D$121</c:f>
              <c:numCache>
                <c:formatCode>#,##0.00</c:formatCode>
                <c:ptCount val="5"/>
                <c:pt idx="0">
                  <c:v>2989310</c:v>
                </c:pt>
                <c:pt idx="1">
                  <c:v>2764121</c:v>
                </c:pt>
                <c:pt idx="2">
                  <c:v>3170305</c:v>
                </c:pt>
                <c:pt idx="3">
                  <c:v>2828903</c:v>
                </c:pt>
              </c:numCache>
            </c:numRef>
          </c:val>
          <c:smooth val="0"/>
          <c:extLst>
            <c:ext xmlns:c16="http://schemas.microsoft.com/office/drawing/2014/chart" uri="{C3380CC4-5D6E-409C-BE32-E72D297353CC}">
              <c16:uniqueId val="{00000000-4ECE-4D0F-8E57-853FAF510DBC}"/>
            </c:ext>
          </c:extLst>
        </c:ser>
        <c:dLbls>
          <c:showLegendKey val="0"/>
          <c:showVal val="0"/>
          <c:showCatName val="0"/>
          <c:showSerName val="0"/>
          <c:showPercent val="0"/>
          <c:showBubbleSize val="0"/>
        </c:dLbls>
        <c:marker val="1"/>
        <c:smooth val="0"/>
        <c:axId val="1856349007"/>
        <c:axId val="1856342767"/>
      </c:lineChart>
      <c:catAx>
        <c:axId val="18563490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342767"/>
        <c:crosses val="autoZero"/>
        <c:auto val="1"/>
        <c:lblAlgn val="ctr"/>
        <c:lblOffset val="100"/>
        <c:noMultiLvlLbl val="0"/>
      </c:catAx>
      <c:valAx>
        <c:axId val="1856342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34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[samsung_2019-24_dataset.xlsx]Sheet2!PivotTable8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32095812789755"/>
          <c:y val="0.13467592592592595"/>
          <c:w val="0.67089704908381775"/>
          <c:h val="0.52255358705161858"/>
        </c:manualLayout>
      </c:layout>
      <c:barChart>
        <c:barDir val="col"/>
        <c:grouping val="clustered"/>
        <c:varyColors val="0"/>
        <c:ser>
          <c:idx val="0"/>
          <c:order val="0"/>
          <c:tx>
            <c:strRef>
              <c:f>Sheet2!$C$140</c:f>
              <c:strCache>
                <c:ptCount val="1"/>
                <c:pt idx="0">
                  <c:v>Total</c:v>
                </c:pt>
              </c:strCache>
            </c:strRef>
          </c:tx>
          <c:spPr>
            <a:solidFill>
              <a:schemeClr val="accent1"/>
            </a:solidFill>
            <a:ln>
              <a:noFill/>
            </a:ln>
            <a:effectLst/>
          </c:spPr>
          <c:invertIfNegative val="0"/>
          <c:cat>
            <c:strRef>
              <c:f>Sheet2!$B$141:$B$157</c:f>
              <c:strCache>
                <c:ptCount val="16"/>
                <c:pt idx="0">
                  <c:v>Galaxy A14 5G</c:v>
                </c:pt>
                <c:pt idx="1">
                  <c:v>Galaxy S23 5G</c:v>
                </c:pt>
                <c:pt idx="2">
                  <c:v>Galaxy S22 5G</c:v>
                </c:pt>
                <c:pt idx="3">
                  <c:v>Galaxy A52 5G</c:v>
                </c:pt>
                <c:pt idx="4">
                  <c:v>Galaxy Z Fold2 5G</c:v>
                </c:pt>
                <c:pt idx="5">
                  <c:v>Galaxy A73 5G</c:v>
                </c:pt>
                <c:pt idx="6">
                  <c:v>Galaxy Z Flip3 5G</c:v>
                </c:pt>
                <c:pt idx="7">
                  <c:v>Galaxy A32 5G</c:v>
                </c:pt>
                <c:pt idx="8">
                  <c:v>Galaxy Z Fold3 5G</c:v>
                </c:pt>
                <c:pt idx="9">
                  <c:v>Galaxy Z Flip5 5G</c:v>
                </c:pt>
                <c:pt idx="10">
                  <c:v>Galaxy Note20</c:v>
                </c:pt>
                <c:pt idx="11">
                  <c:v>Galaxy S21</c:v>
                </c:pt>
                <c:pt idx="12">
                  <c:v>Galaxy Note10</c:v>
                </c:pt>
                <c:pt idx="13">
                  <c:v>Galaxy S10</c:v>
                </c:pt>
                <c:pt idx="14">
                  <c:v>Galaxy S20</c:v>
                </c:pt>
                <c:pt idx="15">
                  <c:v>(blank)</c:v>
                </c:pt>
              </c:strCache>
            </c:strRef>
          </c:cat>
          <c:val>
            <c:numRef>
              <c:f>Sheet2!$C$141:$C$157</c:f>
              <c:numCache>
                <c:formatCode>_("$"* #,##0.00_);_("$"* \(#,##0.00\);_("$"* "-"??_);_(@_)</c:formatCode>
                <c:ptCount val="16"/>
                <c:pt idx="0">
                  <c:v>913122400.15600002</c:v>
                </c:pt>
                <c:pt idx="1">
                  <c:v>894821860.85599947</c:v>
                </c:pt>
                <c:pt idx="2">
                  <c:v>870634307.43199968</c:v>
                </c:pt>
                <c:pt idx="3">
                  <c:v>863073279.52399993</c:v>
                </c:pt>
                <c:pt idx="4">
                  <c:v>824920697.29599988</c:v>
                </c:pt>
                <c:pt idx="5">
                  <c:v>773100349.06399965</c:v>
                </c:pt>
                <c:pt idx="6">
                  <c:v>765159008.18599999</c:v>
                </c:pt>
                <c:pt idx="7">
                  <c:v>716143586.88999999</c:v>
                </c:pt>
                <c:pt idx="8">
                  <c:v>681010938.3719995</c:v>
                </c:pt>
                <c:pt idx="9">
                  <c:v>629567815.69200003</c:v>
                </c:pt>
                <c:pt idx="10">
                  <c:v>617986264.64199996</c:v>
                </c:pt>
                <c:pt idx="11">
                  <c:v>606237536.37600005</c:v>
                </c:pt>
                <c:pt idx="12">
                  <c:v>574059943.65799999</c:v>
                </c:pt>
                <c:pt idx="13">
                  <c:v>522440384.89599997</c:v>
                </c:pt>
                <c:pt idx="14">
                  <c:v>514349659.22099984</c:v>
                </c:pt>
              </c:numCache>
            </c:numRef>
          </c:val>
          <c:extLst>
            <c:ext xmlns:c16="http://schemas.microsoft.com/office/drawing/2014/chart" uri="{C3380CC4-5D6E-409C-BE32-E72D297353CC}">
              <c16:uniqueId val="{00000000-C71D-43ED-AF9D-749C010395E7}"/>
            </c:ext>
          </c:extLst>
        </c:ser>
        <c:dLbls>
          <c:showLegendKey val="0"/>
          <c:showVal val="0"/>
          <c:showCatName val="0"/>
          <c:showSerName val="0"/>
          <c:showPercent val="0"/>
          <c:showBubbleSize val="0"/>
        </c:dLbls>
        <c:gapWidth val="219"/>
        <c:overlap val="-27"/>
        <c:axId val="1887732399"/>
        <c:axId val="1887752559"/>
      </c:barChart>
      <c:catAx>
        <c:axId val="188773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752559"/>
        <c:crosses val="autoZero"/>
        <c:auto val="1"/>
        <c:lblAlgn val="ctr"/>
        <c:lblOffset val="100"/>
        <c:noMultiLvlLbl val="0"/>
      </c:catAx>
      <c:valAx>
        <c:axId val="18877525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73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[samsung_2019-24_dataset.xlsx]Sheet2!PivotTable9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1.6486876640419947E-2"/>
              <c:y val="4.013597258675998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9857830271216094E-3"/>
              <c:y val="5.050634295713035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7.7132545931759547E-3"/>
              <c:y val="-5.82374599008457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437270341207349"/>
              <c:y val="-4.4120370370370372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9092300962379444E-3"/>
              <c:y val="-5.0908063575386409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s>
    <c:plotArea>
      <c:layout/>
      <c:pieChart>
        <c:varyColors val="1"/>
        <c:ser>
          <c:idx val="0"/>
          <c:order val="0"/>
          <c:tx>
            <c:strRef>
              <c:f>Sheet2!$C$183</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45D-4432-B0A4-F30CD2D96D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45D-4432-B0A4-F30CD2D96D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5D-4432-B0A4-F30CD2D96D5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6-845D-4432-B0A4-F30CD2D96D5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845D-4432-B0A4-F30CD2D96D5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956-4AFE-8FF2-CFAF5C616883}"/>
              </c:ext>
            </c:extLst>
          </c:dPt>
          <c:dLbls>
            <c:dLbl>
              <c:idx val="0"/>
              <c:layout>
                <c:manualLayout>
                  <c:x val="-8.9857830271216094E-3"/>
                  <c:y val="5.050634295713035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45D-4432-B0A4-F30CD2D96D5D}"/>
                </c:ext>
              </c:extLst>
            </c:dLbl>
            <c:dLbl>
              <c:idx val="1"/>
              <c:layout>
                <c:manualLayout>
                  <c:x val="-7.7132545931759547E-3"/>
                  <c:y val="-5.82374599008457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45D-4432-B0A4-F30CD2D96D5D}"/>
                </c:ext>
              </c:extLst>
            </c:dLbl>
            <c:dLbl>
              <c:idx val="2"/>
              <c:layout>
                <c:manualLayout>
                  <c:x val="0.12437270341207349"/>
                  <c:y val="-4.412037037037037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45D-4432-B0A4-F30CD2D96D5D}"/>
                </c:ext>
              </c:extLst>
            </c:dLbl>
            <c:dLbl>
              <c:idx val="3"/>
              <c:layout>
                <c:manualLayout>
                  <c:x val="7.9092300962379444E-3"/>
                  <c:y val="-5.090806357538640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845D-4432-B0A4-F30CD2D96D5D}"/>
                </c:ext>
              </c:extLst>
            </c:dLbl>
            <c:dLbl>
              <c:idx val="4"/>
              <c:layout>
                <c:manualLayout>
                  <c:x val="1.6486876640419947E-2"/>
                  <c:y val="4.013597258675998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45D-4432-B0A4-F30CD2D96D5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Sheet2!$B$184:$B$190</c:f>
              <c:strCache>
                <c:ptCount val="6"/>
                <c:pt idx="0">
                  <c:v>Asia-Pacific</c:v>
                </c:pt>
                <c:pt idx="1">
                  <c:v>Europe</c:v>
                </c:pt>
                <c:pt idx="2">
                  <c:v>Latin America</c:v>
                </c:pt>
                <c:pt idx="3">
                  <c:v>Middle East &amp; Africa</c:v>
                </c:pt>
                <c:pt idx="4">
                  <c:v>North America</c:v>
                </c:pt>
                <c:pt idx="5">
                  <c:v>(blank)</c:v>
                </c:pt>
              </c:strCache>
            </c:strRef>
          </c:cat>
          <c:val>
            <c:numRef>
              <c:f>Sheet2!$C$184:$C$190</c:f>
              <c:numCache>
                <c:formatCode>_("$"* #,##0.00_);_("$"* \(#,##0.00\);_("$"* "-"??_);_(@_)</c:formatCode>
                <c:ptCount val="6"/>
                <c:pt idx="0">
                  <c:v>2085855500.1009994</c:v>
                </c:pt>
                <c:pt idx="1">
                  <c:v>2044056723.3779998</c:v>
                </c:pt>
                <c:pt idx="2">
                  <c:v>2442049419.2949996</c:v>
                </c:pt>
                <c:pt idx="3">
                  <c:v>1870852051.9140003</c:v>
                </c:pt>
                <c:pt idx="4">
                  <c:v>2323814337.5730004</c:v>
                </c:pt>
              </c:numCache>
            </c:numRef>
          </c:val>
          <c:extLst>
            <c:ext xmlns:c16="http://schemas.microsoft.com/office/drawing/2014/chart" uri="{C3380CC4-5D6E-409C-BE32-E72D297353CC}">
              <c16:uniqueId val="{00000000-845D-4432-B0A4-F30CD2D96D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emf"/><Relationship Id="rId7" Type="http://schemas.openxmlformats.org/officeDocument/2006/relationships/chart" Target="../charts/chart4.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3.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56029</xdr:colOff>
      <xdr:row>0</xdr:row>
      <xdr:rowOff>56029</xdr:rowOff>
    </xdr:from>
    <xdr:to>
      <xdr:col>55</xdr:col>
      <xdr:colOff>354853</xdr:colOff>
      <xdr:row>87</xdr:row>
      <xdr:rowOff>54428</xdr:rowOff>
    </xdr:to>
    <xdr:sp macro="" textlink="">
      <xdr:nvSpPr>
        <xdr:cNvPr id="3" name="Rectangle 2">
          <a:extLst>
            <a:ext uri="{FF2B5EF4-FFF2-40B4-BE49-F238E27FC236}">
              <a16:creationId xmlns:a16="http://schemas.microsoft.com/office/drawing/2014/main" id="{DE5621A7-0597-88F4-F19D-C916FD6C5A21}"/>
            </a:ext>
          </a:extLst>
        </xdr:cNvPr>
        <xdr:cNvSpPr/>
      </xdr:nvSpPr>
      <xdr:spPr>
        <a:xfrm>
          <a:off x="56029" y="56029"/>
          <a:ext cx="34225967" cy="15782685"/>
        </a:xfrm>
        <a:prstGeom prst="rect">
          <a:avLst/>
        </a:prstGeom>
        <a:gradFill flip="none" rotWithShape="1">
          <a:gsLst>
            <a:gs pos="0">
              <a:srgbClr val="8522C2">
                <a:shade val="30000"/>
                <a:satMod val="115000"/>
              </a:srgbClr>
            </a:gs>
            <a:gs pos="50000">
              <a:srgbClr val="8522C2">
                <a:shade val="67500"/>
                <a:satMod val="115000"/>
              </a:srgbClr>
            </a:gs>
            <a:gs pos="100000">
              <a:srgbClr val="8522C2">
                <a:shade val="100000"/>
                <a:satMod val="115000"/>
              </a:srgbClr>
            </a:gs>
          </a:gsLst>
          <a:path path="circle">
            <a:fillToRect l="100000" t="100000"/>
          </a:path>
          <a:tileRect r="-100000" b="-100000"/>
        </a:gra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26</xdr:col>
      <xdr:colOff>227949</xdr:colOff>
      <xdr:row>1</xdr:row>
      <xdr:rowOff>46984</xdr:rowOff>
    </xdr:from>
    <xdr:to>
      <xdr:col>35</xdr:col>
      <xdr:colOff>237672</xdr:colOff>
      <xdr:row>9</xdr:row>
      <xdr:rowOff>144676</xdr:rowOff>
    </xdr:to>
    <xdr:pic>
      <xdr:nvPicPr>
        <xdr:cNvPr id="7" name="Picture 6">
          <a:extLst>
            <a:ext uri="{FF2B5EF4-FFF2-40B4-BE49-F238E27FC236}">
              <a16:creationId xmlns:a16="http://schemas.microsoft.com/office/drawing/2014/main" id="{C4B39C6F-B92D-291B-96E3-04754122A0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66235" y="228413"/>
          <a:ext cx="5561437" cy="1549120"/>
        </a:xfrm>
        <a:prstGeom prst="roundRect">
          <a:avLst>
            <a:gd name="adj" fmla="val 16667"/>
          </a:avLst>
        </a:prstGeom>
        <a:ln>
          <a:noFill/>
        </a:ln>
        <a:effectLst>
          <a:glow rad="63500">
            <a:schemeClr val="accent1">
              <a:satMod val="175000"/>
              <a:alpha val="40000"/>
            </a:schemeClr>
          </a:glow>
          <a:outerShdw blurRad="76200" dist="38100" dir="7800000" algn="tl" rotWithShape="0">
            <a:srgbClr val="000000">
              <a:alpha val="40000"/>
            </a:srgbClr>
          </a:outerShdw>
          <a:softEdge rad="12700"/>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485203</xdr:colOff>
      <xdr:row>1</xdr:row>
      <xdr:rowOff>51474</xdr:rowOff>
    </xdr:from>
    <xdr:to>
      <xdr:col>45</xdr:col>
      <xdr:colOff>289821</xdr:colOff>
      <xdr:row>9</xdr:row>
      <xdr:rowOff>145143</xdr:rowOff>
    </xdr:to>
    <xdr:pic>
      <xdr:nvPicPr>
        <xdr:cNvPr id="8" name="Picture 7">
          <a:extLst>
            <a:ext uri="{FF2B5EF4-FFF2-40B4-BE49-F238E27FC236}">
              <a16:creationId xmlns:a16="http://schemas.microsoft.com/office/drawing/2014/main" id="{55C10D44-36A6-B3B4-7D3F-371E502081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0800000" flipH="1" flipV="1">
          <a:off x="22075203" y="232903"/>
          <a:ext cx="5973189" cy="1545097"/>
        </a:xfrm>
        <a:prstGeom prst="roundRect">
          <a:avLst>
            <a:gd name="adj" fmla="val 16667"/>
          </a:avLst>
        </a:prstGeom>
        <a:ln>
          <a:noFill/>
        </a:ln>
        <a:effectLst>
          <a:glow rad="63500">
            <a:schemeClr val="accent1">
              <a:satMod val="175000"/>
              <a:alpha val="40000"/>
            </a:schemeClr>
          </a:glow>
          <a:outerShdw blurRad="76200" dist="38100" dir="7800000" algn="tl" rotWithShape="0">
            <a:srgbClr val="000000">
              <a:alpha val="40000"/>
            </a:srgbClr>
          </a:outerShdw>
          <a:softEdge rad="12700"/>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545216</xdr:colOff>
      <xdr:row>1</xdr:row>
      <xdr:rowOff>65128</xdr:rowOff>
    </xdr:from>
    <xdr:to>
      <xdr:col>53</xdr:col>
      <xdr:colOff>591620</xdr:colOff>
      <xdr:row>10</xdr:row>
      <xdr:rowOff>97692</xdr:rowOff>
    </xdr:to>
    <xdr:pic>
      <xdr:nvPicPr>
        <xdr:cNvPr id="9" name="Picture 8">
          <a:extLst>
            <a:ext uri="{FF2B5EF4-FFF2-40B4-BE49-F238E27FC236}">
              <a16:creationId xmlns:a16="http://schemas.microsoft.com/office/drawing/2014/main" id="{15AC4E3A-092C-25FA-C9B9-F0BAB4067B1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303787" y="246557"/>
          <a:ext cx="4981262" cy="1665421"/>
        </a:xfrm>
        <a:prstGeom prst="roundRect">
          <a:avLst>
            <a:gd name="adj" fmla="val 16667"/>
          </a:avLst>
        </a:prstGeom>
        <a:ln>
          <a:noFill/>
        </a:ln>
        <a:effectLst>
          <a:glow rad="63500">
            <a:schemeClr val="accent1">
              <a:satMod val="175000"/>
              <a:alpha val="40000"/>
            </a:schemeClr>
          </a:glow>
          <a:outerShdw blurRad="76200" dist="38100" dir="7800000" algn="tl" rotWithShape="0">
            <a:srgbClr val="000000">
              <a:alpha val="40000"/>
            </a:srgbClr>
          </a:outerShdw>
          <a:softEdge rad="12700"/>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199572</xdr:colOff>
      <xdr:row>11</xdr:row>
      <xdr:rowOff>63006</xdr:rowOff>
    </xdr:from>
    <xdr:to>
      <xdr:col>14</xdr:col>
      <xdr:colOff>522941</xdr:colOff>
      <xdr:row>46</xdr:row>
      <xdr:rowOff>90715</xdr:rowOff>
    </xdr:to>
    <xdr:graphicFrame macro="">
      <xdr:nvGraphicFramePr>
        <xdr:cNvPr id="10" name="Chart 9">
          <a:extLst>
            <a:ext uri="{FF2B5EF4-FFF2-40B4-BE49-F238E27FC236}">
              <a16:creationId xmlns:a16="http://schemas.microsoft.com/office/drawing/2014/main" id="{39FAFE9E-EB7A-4EE0-A7E0-1406CFB92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108857</xdr:colOff>
      <xdr:row>47</xdr:row>
      <xdr:rowOff>18140</xdr:rowOff>
    </xdr:from>
    <xdr:to>
      <xdr:col>30</xdr:col>
      <xdr:colOff>163285</xdr:colOff>
      <xdr:row>86</xdr:row>
      <xdr:rowOff>-1</xdr:rowOff>
    </xdr:to>
    <xdr:graphicFrame macro="">
      <xdr:nvGraphicFramePr>
        <xdr:cNvPr id="11" name="Chart 10">
          <a:extLst>
            <a:ext uri="{FF2B5EF4-FFF2-40B4-BE49-F238E27FC236}">
              <a16:creationId xmlns:a16="http://schemas.microsoft.com/office/drawing/2014/main" id="{60B874BF-5882-42C9-BEF6-2380A4A73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308427</xdr:colOff>
      <xdr:row>11</xdr:row>
      <xdr:rowOff>0</xdr:rowOff>
    </xdr:from>
    <xdr:to>
      <xdr:col>47</xdr:col>
      <xdr:colOff>235854</xdr:colOff>
      <xdr:row>45</xdr:row>
      <xdr:rowOff>145143</xdr:rowOff>
    </xdr:to>
    <xdr:graphicFrame macro="">
      <xdr:nvGraphicFramePr>
        <xdr:cNvPr id="13" name="Chart 12">
          <a:extLst>
            <a:ext uri="{FF2B5EF4-FFF2-40B4-BE49-F238E27FC236}">
              <a16:creationId xmlns:a16="http://schemas.microsoft.com/office/drawing/2014/main" id="{C9AD0754-C376-4D2A-9197-DCF670843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72571</xdr:colOff>
      <xdr:row>47</xdr:row>
      <xdr:rowOff>36287</xdr:rowOff>
    </xdr:from>
    <xdr:to>
      <xdr:col>14</xdr:col>
      <xdr:colOff>508000</xdr:colOff>
      <xdr:row>86</xdr:row>
      <xdr:rowOff>18143</xdr:rowOff>
    </xdr:to>
    <xdr:graphicFrame macro="">
      <xdr:nvGraphicFramePr>
        <xdr:cNvPr id="14" name="Chart 13">
          <a:extLst>
            <a:ext uri="{FF2B5EF4-FFF2-40B4-BE49-F238E27FC236}">
              <a16:creationId xmlns:a16="http://schemas.microsoft.com/office/drawing/2014/main" id="{CFBA5BE2-700D-454C-8604-74AA70753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124508</xdr:colOff>
      <xdr:row>11</xdr:row>
      <xdr:rowOff>18988</xdr:rowOff>
    </xdr:from>
    <xdr:to>
      <xdr:col>30</xdr:col>
      <xdr:colOff>191686</xdr:colOff>
      <xdr:row>46</xdr:row>
      <xdr:rowOff>74840</xdr:rowOff>
    </xdr:to>
    <xdr:graphicFrame macro="">
      <xdr:nvGraphicFramePr>
        <xdr:cNvPr id="15" name="Chart 14">
          <a:extLst>
            <a:ext uri="{FF2B5EF4-FFF2-40B4-BE49-F238E27FC236}">
              <a16:creationId xmlns:a16="http://schemas.microsoft.com/office/drawing/2014/main" id="{254247D4-7ACF-45BA-89C9-BCF8FBAE0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30</xdr:col>
      <xdr:colOff>326571</xdr:colOff>
      <xdr:row>47</xdr:row>
      <xdr:rowOff>31839</xdr:rowOff>
    </xdr:from>
    <xdr:to>
      <xdr:col>47</xdr:col>
      <xdr:colOff>344713</xdr:colOff>
      <xdr:row>85</xdr:row>
      <xdr:rowOff>163285</xdr:rowOff>
    </xdr:to>
    <xdr:graphicFrame macro="">
      <xdr:nvGraphicFramePr>
        <xdr:cNvPr id="16" name="Chart 15">
          <a:extLst>
            <a:ext uri="{FF2B5EF4-FFF2-40B4-BE49-F238E27FC236}">
              <a16:creationId xmlns:a16="http://schemas.microsoft.com/office/drawing/2014/main" id="{959D4C6C-A68D-47C4-89E4-F30B453A2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47</xdr:col>
      <xdr:colOff>564028</xdr:colOff>
      <xdr:row>11</xdr:row>
      <xdr:rowOff>56029</xdr:rowOff>
    </xdr:from>
    <xdr:to>
      <xdr:col>55</xdr:col>
      <xdr:colOff>246362</xdr:colOff>
      <xdr:row>26</xdr:row>
      <xdr:rowOff>114529</xdr:rowOff>
    </xdr:to>
    <mc:AlternateContent xmlns:mc="http://schemas.openxmlformats.org/markup-compatibility/2006">
      <mc:Choice xmlns:a14="http://schemas.microsoft.com/office/drawing/2010/main" Requires="a14">
        <xdr:graphicFrame macro="">
          <xdr:nvGraphicFramePr>
            <xdr:cNvPr id="2" name="Quarter 1">
              <a:extLst>
                <a:ext uri="{FF2B5EF4-FFF2-40B4-BE49-F238E27FC236}">
                  <a16:creationId xmlns:a16="http://schemas.microsoft.com/office/drawing/2014/main" id="{D810BEB7-E63C-4F86-8EB0-4F9788BEE3E2}"/>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29476372" y="2020560"/>
              <a:ext cx="4603584" cy="27374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592665</xdr:colOff>
      <xdr:row>28</xdr:row>
      <xdr:rowOff>13696</xdr:rowOff>
    </xdr:from>
    <xdr:to>
      <xdr:col>55</xdr:col>
      <xdr:colOff>275166</xdr:colOff>
      <xdr:row>46</xdr:row>
      <xdr:rowOff>84668</xdr:rowOff>
    </xdr:to>
    <mc:AlternateContent xmlns:mc="http://schemas.openxmlformats.org/markup-compatibility/2006">
      <mc:Choice xmlns:a14="http://schemas.microsoft.com/office/drawing/2010/main" Requires="a14">
        <xdr:graphicFrame macro="">
          <xdr:nvGraphicFramePr>
            <xdr:cNvPr id="4" name="5G Capability 1">
              <a:extLst>
                <a:ext uri="{FF2B5EF4-FFF2-40B4-BE49-F238E27FC236}">
                  <a16:creationId xmlns:a16="http://schemas.microsoft.com/office/drawing/2014/main" id="{AE29B9F7-B49A-4163-A39D-23F91CBC18D0}"/>
                </a:ext>
              </a:extLst>
            </xdr:cNvPr>
            <xdr:cNvGraphicFramePr/>
          </xdr:nvGraphicFramePr>
          <xdr:xfrm>
            <a:off x="0" y="0"/>
            <a:ext cx="0" cy="0"/>
          </xdr:xfrm>
          <a:graphic>
            <a:graphicData uri="http://schemas.microsoft.com/office/drawing/2010/slicer">
              <sle:slicer xmlns:sle="http://schemas.microsoft.com/office/drawing/2010/slicer" name="5G Capability 1"/>
            </a:graphicData>
          </a:graphic>
        </xdr:graphicFrame>
      </mc:Choice>
      <mc:Fallback>
        <xdr:sp macro="" textlink="">
          <xdr:nvSpPr>
            <xdr:cNvPr id="0" name=""/>
            <xdr:cNvSpPr>
              <a:spLocks noTextEdit="1"/>
            </xdr:cNvSpPr>
          </xdr:nvSpPr>
          <xdr:spPr>
            <a:xfrm>
              <a:off x="29505009" y="5014321"/>
              <a:ext cx="4603751" cy="3285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508000</xdr:colOff>
      <xdr:row>48</xdr:row>
      <xdr:rowOff>34863</xdr:rowOff>
    </xdr:from>
    <xdr:to>
      <xdr:col>55</xdr:col>
      <xdr:colOff>211667</xdr:colOff>
      <xdr:row>64</xdr:row>
      <xdr:rowOff>42333</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B472CF67-FA44-4928-B04D-EA1B4949337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9420344" y="8607363"/>
              <a:ext cx="4624917" cy="28649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47</xdr:col>
      <xdr:colOff>571499</xdr:colOff>
      <xdr:row>65</xdr:row>
      <xdr:rowOff>98362</xdr:rowOff>
    </xdr:from>
    <xdr:to>
      <xdr:col>55</xdr:col>
      <xdr:colOff>211666</xdr:colOff>
      <xdr:row>85</xdr:row>
      <xdr:rowOff>169333</xdr:rowOff>
    </xdr:to>
    <mc:AlternateContent xmlns:mc="http://schemas.openxmlformats.org/markup-compatibility/2006">
      <mc:Choice xmlns:a14="http://schemas.microsoft.com/office/drawing/2010/main" Requires="a14">
        <xdr:graphicFrame macro="">
          <xdr:nvGraphicFramePr>
            <xdr:cNvPr id="12" name="Region 1">
              <a:extLst>
                <a:ext uri="{FF2B5EF4-FFF2-40B4-BE49-F238E27FC236}">
                  <a16:creationId xmlns:a16="http://schemas.microsoft.com/office/drawing/2014/main" id="{7C10D4C5-814D-4648-91E8-A4D84096CAB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9483843" y="11706956"/>
              <a:ext cx="4561417" cy="3642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56029</xdr:colOff>
      <xdr:row>0</xdr:row>
      <xdr:rowOff>56029</xdr:rowOff>
    </xdr:from>
    <xdr:to>
      <xdr:col>21</xdr:col>
      <xdr:colOff>218282</xdr:colOff>
      <xdr:row>44</xdr:row>
      <xdr:rowOff>39688</xdr:rowOff>
    </xdr:to>
    <xdr:graphicFrame macro="">
      <xdr:nvGraphicFramePr>
        <xdr:cNvPr id="17" name="Chart 16">
          <a:extLst>
            <a:ext uri="{FF2B5EF4-FFF2-40B4-BE49-F238E27FC236}">
              <a16:creationId xmlns:a16="http://schemas.microsoft.com/office/drawing/2014/main" id="{1BA1FDDF-4D4D-4328-B5A1-C636D57D3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266700</xdr:colOff>
      <xdr:row>2</xdr:row>
      <xdr:rowOff>38100</xdr:rowOff>
    </xdr:from>
    <xdr:to>
      <xdr:col>6</xdr:col>
      <xdr:colOff>0</xdr:colOff>
      <xdr:row>13</xdr:row>
      <xdr:rowOff>152400</xdr:rowOff>
    </xdr:to>
    <xdr:graphicFrame macro="">
      <xdr:nvGraphicFramePr>
        <xdr:cNvPr id="2" name="Chart 1">
          <a:extLst>
            <a:ext uri="{FF2B5EF4-FFF2-40B4-BE49-F238E27FC236}">
              <a16:creationId xmlns:a16="http://schemas.microsoft.com/office/drawing/2014/main" id="{7FFC438A-5A53-B238-D8FA-822A09EA8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590550</xdr:colOff>
      <xdr:row>3</xdr:row>
      <xdr:rowOff>130175</xdr:rowOff>
    </xdr:from>
    <xdr:to>
      <xdr:col>6</xdr:col>
      <xdr:colOff>117929</xdr:colOff>
      <xdr:row>25</xdr:row>
      <xdr:rowOff>108857</xdr:rowOff>
    </xdr:to>
    <xdr:graphicFrame macro="">
      <xdr:nvGraphicFramePr>
        <xdr:cNvPr id="2" name="Chart 1">
          <a:extLst>
            <a:ext uri="{FF2B5EF4-FFF2-40B4-BE49-F238E27FC236}">
              <a16:creationId xmlns:a16="http://schemas.microsoft.com/office/drawing/2014/main" id="{23F3B6FE-425F-A7A0-4815-CF7D14E7F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209550</xdr:colOff>
      <xdr:row>32</xdr:row>
      <xdr:rowOff>76200</xdr:rowOff>
    </xdr:from>
    <xdr:to>
      <xdr:col>6</xdr:col>
      <xdr:colOff>1079500</xdr:colOff>
      <xdr:row>47</xdr:row>
      <xdr:rowOff>57150</xdr:rowOff>
    </xdr:to>
    <xdr:graphicFrame macro="">
      <xdr:nvGraphicFramePr>
        <xdr:cNvPr id="3" name="Chart 2">
          <a:extLst>
            <a:ext uri="{FF2B5EF4-FFF2-40B4-BE49-F238E27FC236}">
              <a16:creationId xmlns:a16="http://schemas.microsoft.com/office/drawing/2014/main" id="{ECBEF9F1-E3AB-BF49-3C5D-BAAA6F26F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323850</xdr:colOff>
      <xdr:row>79</xdr:row>
      <xdr:rowOff>136525</xdr:rowOff>
    </xdr:from>
    <xdr:to>
      <xdr:col>6</xdr:col>
      <xdr:colOff>895350</xdr:colOff>
      <xdr:row>94</xdr:row>
      <xdr:rowOff>117475</xdr:rowOff>
    </xdr:to>
    <xdr:graphicFrame macro="">
      <xdr:nvGraphicFramePr>
        <xdr:cNvPr id="4" name="Chart 3">
          <a:extLst>
            <a:ext uri="{FF2B5EF4-FFF2-40B4-BE49-F238E27FC236}">
              <a16:creationId xmlns:a16="http://schemas.microsoft.com/office/drawing/2014/main" id="{22965F99-4DE2-B78C-9A71-94495C304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412750</xdr:colOff>
      <xdr:row>110</xdr:row>
      <xdr:rowOff>85725</xdr:rowOff>
    </xdr:from>
    <xdr:to>
      <xdr:col>6</xdr:col>
      <xdr:colOff>984250</xdr:colOff>
      <xdr:row>125</xdr:row>
      <xdr:rowOff>66675</xdr:rowOff>
    </xdr:to>
    <xdr:graphicFrame macro="">
      <xdr:nvGraphicFramePr>
        <xdr:cNvPr id="5" name="Chart 4">
          <a:extLst>
            <a:ext uri="{FF2B5EF4-FFF2-40B4-BE49-F238E27FC236}">
              <a16:creationId xmlns:a16="http://schemas.microsoft.com/office/drawing/2014/main" id="{0A4B1CFD-6F11-95C5-4F1E-1C49B3839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685800</xdr:colOff>
      <xdr:row>139</xdr:row>
      <xdr:rowOff>60325</xdr:rowOff>
    </xdr:from>
    <xdr:to>
      <xdr:col>6</xdr:col>
      <xdr:colOff>171450</xdr:colOff>
      <xdr:row>154</xdr:row>
      <xdr:rowOff>41275</xdr:rowOff>
    </xdr:to>
    <xdr:graphicFrame macro="">
      <xdr:nvGraphicFramePr>
        <xdr:cNvPr id="6" name="Chart 5">
          <a:extLst>
            <a:ext uri="{FF2B5EF4-FFF2-40B4-BE49-F238E27FC236}">
              <a16:creationId xmlns:a16="http://schemas.microsoft.com/office/drawing/2014/main" id="{99F27B28-B5D7-FFC1-CEA5-5601538E6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482600</xdr:colOff>
      <xdr:row>179</xdr:row>
      <xdr:rowOff>79375</xdr:rowOff>
    </xdr:from>
    <xdr:to>
      <xdr:col>5</xdr:col>
      <xdr:colOff>1968500</xdr:colOff>
      <xdr:row>194</xdr:row>
      <xdr:rowOff>60325</xdr:rowOff>
    </xdr:to>
    <xdr:graphicFrame macro="">
      <xdr:nvGraphicFramePr>
        <xdr:cNvPr id="7" name="Chart 6">
          <a:extLst>
            <a:ext uri="{FF2B5EF4-FFF2-40B4-BE49-F238E27FC236}">
              <a16:creationId xmlns:a16="http://schemas.microsoft.com/office/drawing/2014/main" id="{ED67DE22-532D-DB84-5961-D89674C88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431800</xdr:colOff>
      <xdr:row>177</xdr:row>
      <xdr:rowOff>88901</xdr:rowOff>
    </xdr:from>
    <xdr:to>
      <xdr:col>7</xdr:col>
      <xdr:colOff>260350</xdr:colOff>
      <xdr:row>186</xdr:row>
      <xdr:rowOff>120651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126D1254-E0AD-9886-840B-A6CC40FF3D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553700" y="32683451"/>
              <a:ext cx="1828800" cy="168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1035050</xdr:colOff>
      <xdr:row>107</xdr:row>
      <xdr:rowOff>88901</xdr:rowOff>
    </xdr:from>
    <xdr:to>
      <xdr:col>7</xdr:col>
      <xdr:colOff>863600</xdr:colOff>
      <xdr:row>112</xdr:row>
      <xdr:rowOff>101600</xdr:rowOff>
    </xdr:to>
    <mc:AlternateContent xmlns:mc="http://schemas.openxmlformats.org/markup-compatibility/2006" xmlns:a14="http://schemas.microsoft.com/office/drawing/2010/main">
      <mc:Choice Requires="a14">
        <xdr:graphicFrame macro="">
          <xdr:nvGraphicFramePr>
            <xdr:cNvPr id="13" name="Quarter">
              <a:extLst>
                <a:ext uri="{FF2B5EF4-FFF2-40B4-BE49-F238E27FC236}">
                  <a16:creationId xmlns:a16="http://schemas.microsoft.com/office/drawing/2014/main" id="{3E346D4A-6BA4-4F5E-7C9F-4011F8A9A7E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156950" y="19792951"/>
              <a:ext cx="1828800" cy="933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1212850</xdr:colOff>
      <xdr:row>84</xdr:row>
      <xdr:rowOff>139701</xdr:rowOff>
    </xdr:from>
    <xdr:to>
      <xdr:col>7</xdr:col>
      <xdr:colOff>1041400</xdr:colOff>
      <xdr:row>88</xdr:row>
      <xdr:rowOff>76200</xdr:rowOff>
    </xdr:to>
    <mc:AlternateContent xmlns:mc="http://schemas.openxmlformats.org/markup-compatibility/2006" xmlns:a14="http://schemas.microsoft.com/office/drawing/2010/main">
      <mc:Choice Requires="a14">
        <xdr:graphicFrame macro="">
          <xdr:nvGraphicFramePr>
            <xdr:cNvPr id="14" name="5G Capability">
              <a:extLst>
                <a:ext uri="{FF2B5EF4-FFF2-40B4-BE49-F238E27FC236}">
                  <a16:creationId xmlns:a16="http://schemas.microsoft.com/office/drawing/2014/main" id="{9A271BF0-E1BF-4A79-2F1B-B10E163DE329}"/>
                </a:ext>
              </a:extLst>
            </xdr:cNvPr>
            <xdr:cNvGraphicFramePr/>
          </xdr:nvGraphicFramePr>
          <xdr:xfrm>
            <a:off x="0" y="0"/>
            <a:ext cx="0" cy="0"/>
          </xdr:xfrm>
          <a:graphic>
            <a:graphicData uri="http://schemas.microsoft.com/office/drawing/2010/slicer">
              <sle:slicer xmlns:sle="http://schemas.microsoft.com/office/drawing/2010/slicer" name="5G Capability"/>
            </a:graphicData>
          </a:graphic>
        </xdr:graphicFrame>
      </mc:Choice>
      <mc:Fallback xmlns="">
        <xdr:sp macro="" textlink="">
          <xdr:nvSpPr>
            <xdr:cNvPr id="0" name=""/>
            <xdr:cNvSpPr>
              <a:spLocks noTextEdit="1"/>
            </xdr:cNvSpPr>
          </xdr:nvSpPr>
          <xdr:spPr>
            <a:xfrm>
              <a:off x="11334750" y="15608301"/>
              <a:ext cx="1828800" cy="673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1390650</xdr:colOff>
      <xdr:row>34</xdr:row>
      <xdr:rowOff>114301</xdr:rowOff>
    </xdr:from>
    <xdr:to>
      <xdr:col>7</xdr:col>
      <xdr:colOff>1219200</xdr:colOff>
      <xdr:row>41</xdr:row>
      <xdr:rowOff>57151</xdr:rowOff>
    </xdr:to>
    <mc:AlternateContent xmlns:mc="http://schemas.openxmlformats.org/markup-compatibility/2006" xmlns:a14="http://schemas.microsoft.com/office/drawing/2010/main">
      <mc:Choice Requires="a14">
        <xdr:graphicFrame macro="">
          <xdr:nvGraphicFramePr>
            <xdr:cNvPr id="15" name="Year">
              <a:extLst>
                <a:ext uri="{FF2B5EF4-FFF2-40B4-BE49-F238E27FC236}">
                  <a16:creationId xmlns:a16="http://schemas.microsoft.com/office/drawing/2014/main" id="{29E42F88-20E7-CD1C-BEF5-8453A633836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512550" y="6375401"/>
              <a:ext cx="1828800" cy="123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6.477456365741" createdVersion="8" refreshedVersion="8" minRefreshableVersion="3" recordCount="1000" xr:uid="{4D0A9235-F83A-42BF-BB4E-B87CC1C9D522}">
  <cacheSource type="worksheet">
    <worksheetSource ref="A1:L1001" sheet="Expanded_Dataset (1)"/>
  </cacheSource>
  <cacheFields count="12">
    <cacheField name="Year" numFmtId="0">
      <sharedItems containsString="0" containsBlank="1" containsNumber="1" containsInteger="1" minValue="2019" maxValue="2024" count="7">
        <n v="2019"/>
        <n v="2020"/>
        <n v="2021"/>
        <n v="2022"/>
        <n v="2023"/>
        <n v="2024"/>
        <m/>
      </sharedItems>
    </cacheField>
    <cacheField name="Quarter" numFmtId="0">
      <sharedItems containsBlank="1" count="5">
        <s v="Q1"/>
        <s v="Q2"/>
        <s v="Q3"/>
        <s v="Q4"/>
        <m/>
      </sharedItems>
    </cacheField>
    <cacheField name="Product Model" numFmtId="0">
      <sharedItems containsBlank="1" count="16">
        <s v="Galaxy S10"/>
        <s v="Galaxy Note10"/>
        <s v="Galaxy S20"/>
        <s v="Galaxy Note20"/>
        <s v="Galaxy S21"/>
        <s v="Galaxy A32 5G"/>
        <s v="Galaxy A52 5G"/>
        <s v="Galaxy A73 5G"/>
        <s v="Galaxy Z Fold2 5G"/>
        <s v="Galaxy Z Flip3 5G"/>
        <s v="Galaxy S22 5G"/>
        <s v="Galaxy Z Fold3 5G"/>
        <s v="Galaxy A14 5G"/>
        <s v="Galaxy S23 5G"/>
        <s v="Galaxy Z Flip5 5G"/>
        <m/>
      </sharedItems>
    </cacheField>
    <cacheField name="5G Capability" numFmtId="0">
      <sharedItems containsBlank="1" count="3">
        <s v="No"/>
        <s v="Yes"/>
        <m/>
      </sharedItems>
    </cacheField>
    <cacheField name="Units Sold" numFmtId="0">
      <sharedItems containsString="0" containsBlank="1" containsNumber="1" containsInteger="1" minValue="5309" maxValue="64883"/>
    </cacheField>
    <cacheField name="Revenue ($)" numFmtId="0">
      <sharedItems containsString="0" containsBlank="1" containsNumber="1" minValue="2987436.3840000001" maxValue="84264943.840000004"/>
    </cacheField>
    <cacheField name="Market Share (%)" numFmtId="0">
      <sharedItems containsString="0" containsBlank="1" containsNumber="1" minValue="-0.49" maxValue="6.95"/>
    </cacheField>
    <cacheField name="Regional 5G Coverage (%)" numFmtId="0">
      <sharedItems containsString="0" containsBlank="1" containsNumber="1" minValue="25.34" maxValue="103.92"/>
    </cacheField>
    <cacheField name="5G Subscribers (millions)" numFmtId="0">
      <sharedItems containsString="0" containsBlank="1" containsNumber="1" minValue="-0.89" maxValue="54.94"/>
    </cacheField>
    <cacheField name="Avg 5G Speed (Mbps)" numFmtId="0">
      <sharedItems containsString="0" containsBlank="1" containsNumber="1" minValue="50.37" maxValue="298.7"/>
    </cacheField>
    <cacheField name="Preference for 5G (%)" numFmtId="0">
      <sharedItems containsString="0" containsBlank="1" containsNumber="1" minValue="37.14" maxValue="94.84"/>
    </cacheField>
    <cacheField name="Region" numFmtId="0">
      <sharedItems containsBlank="1" count="6">
        <s v="Asia-Pacific"/>
        <s v="Latin America"/>
        <s v="Middle East &amp; Africa"/>
        <s v="North America"/>
        <s v="Europe"/>
        <m/>
      </sharedItems>
    </cacheField>
  </cacheFields>
  <extLst>
    <ext xmlns:x14="http://schemas.microsoft.com/office/spreadsheetml/2009/9/main" uri="{725AE2AE-9491-48be-B2B4-4EB974FC3084}">
      <x14:pivotCacheDefinition pivotCacheId="20994901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5.473608101849" createdVersion="8" refreshedVersion="8" minRefreshableVersion="3" recordCount="360" xr:uid="{7A3BC7E8-5B92-4536-806F-6A0D39C04EFA}">
  <cacheSource type="worksheet">
    <worksheetSource ref="A1:L361" sheet="Expanded_Dataset (1)"/>
  </cacheSource>
  <cacheFields count="12">
    <cacheField name="Year" numFmtId="0">
      <sharedItems containsSemiMixedTypes="0" containsString="0" containsNumber="1" containsInteger="1" minValue="2019" maxValue="2024"/>
    </cacheField>
    <cacheField name="Quarter" numFmtId="0">
      <sharedItems count="4">
        <s v="Q1"/>
        <s v="Q2"/>
        <s v="Q3"/>
        <s v="Q4"/>
      </sharedItems>
    </cacheField>
    <cacheField name="Product Model" numFmtId="0">
      <sharedItems/>
    </cacheField>
    <cacheField name="5G Capability" numFmtId="0">
      <sharedItems count="2">
        <s v="No"/>
        <s v="Yes"/>
      </sharedItems>
    </cacheField>
    <cacheField name="Units Sold" numFmtId="4">
      <sharedItems containsSemiMixedTypes="0" containsString="0" containsNumber="1" containsInteger="1" minValue="5309" maxValue="64883"/>
    </cacheField>
    <cacheField name="Revenue ($)" numFmtId="164">
      <sharedItems containsSemiMixedTypes="0" containsString="0" containsNumber="1" minValue="2987436.3840000001" maxValue="84264943.840000004"/>
    </cacheField>
    <cacheField name="Market Share (%)" numFmtId="0">
      <sharedItems containsSemiMixedTypes="0" containsString="0" containsNumber="1" minValue="-0.49" maxValue="6.95"/>
    </cacheField>
    <cacheField name="Regional 5G Coverage (%)" numFmtId="0">
      <sharedItems containsSemiMixedTypes="0" containsString="0" containsNumber="1" minValue="25.34" maxValue="103.92"/>
    </cacheField>
    <cacheField name="5G Subscribers (millions)" numFmtId="0">
      <sharedItems containsSemiMixedTypes="0" containsString="0" containsNumber="1" minValue="-0.89" maxValue="54.94"/>
    </cacheField>
    <cacheField name="Avg 5G Speed (Mbps)" numFmtId="0">
      <sharedItems containsSemiMixedTypes="0" containsString="0" containsNumber="1" minValue="50.37" maxValue="298.7"/>
    </cacheField>
    <cacheField name="Preference for 5G (%)" numFmtId="0">
      <sharedItems containsSemiMixedTypes="0" containsString="0" containsNumber="1" minValue="37.14" maxValue="94.84"/>
    </cacheField>
    <cacheField name="Reg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26396"/>
    <n v="4212951.0480000004"/>
    <n v="1.04"/>
    <n v="57.36"/>
    <n v="39.549999999999997"/>
    <n v="293.10000000000002"/>
    <n v="55.87"/>
    <x v="0"/>
  </r>
  <r>
    <x v="0"/>
    <x v="0"/>
    <x v="1"/>
    <x v="0"/>
    <n v="25671"/>
    <n v="7240265.60399999"/>
    <n v="2.82"/>
    <n v="85.8"/>
    <n v="42.58"/>
    <n v="67.459999999999994"/>
    <n v="37.26"/>
    <x v="1"/>
  </r>
  <r>
    <x v="0"/>
    <x v="0"/>
    <x v="2"/>
    <x v="0"/>
    <n v="16573"/>
    <n v="25608331.510000002"/>
    <n v="-0.03"/>
    <n v="47.02"/>
    <n v="3.78"/>
    <n v="77.25"/>
    <n v="84.66"/>
    <x v="2"/>
  </r>
  <r>
    <x v="0"/>
    <x v="0"/>
    <x v="3"/>
    <x v="0"/>
    <n v="7177"/>
    <n v="21984415.829999998"/>
    <n v="0.84"/>
    <n v="25.7"/>
    <n v="23.41"/>
    <n v="105.27"/>
    <n v="40.03"/>
    <x v="3"/>
  </r>
  <r>
    <x v="0"/>
    <x v="0"/>
    <x v="4"/>
    <x v="0"/>
    <n v="45633"/>
    <n v="16342437.5"/>
    <n v="2.36"/>
    <n v="89.13"/>
    <n v="44.43"/>
    <n v="206.17"/>
    <n v="76.88"/>
    <x v="1"/>
  </r>
  <r>
    <x v="0"/>
    <x v="0"/>
    <x v="5"/>
    <x v="1"/>
    <n v="15912"/>
    <n v="17178326.899999999"/>
    <n v="5.41"/>
    <n v="59.12"/>
    <n v="12.14"/>
    <n v="179.15"/>
    <n v="80.790000000000006"/>
    <x v="2"/>
  </r>
  <r>
    <x v="0"/>
    <x v="0"/>
    <x v="6"/>
    <x v="1"/>
    <n v="7231"/>
    <n v="48639810.189999998"/>
    <n v="5.9"/>
    <n v="52.94"/>
    <n v="44.36"/>
    <n v="259.16000000000003"/>
    <n v="77.55"/>
    <x v="1"/>
  </r>
  <r>
    <x v="0"/>
    <x v="0"/>
    <x v="7"/>
    <x v="1"/>
    <n v="58711"/>
    <n v="70175779.069999993"/>
    <n v="4.92"/>
    <n v="79.95"/>
    <n v="49.7"/>
    <n v="191.42"/>
    <n v="74.83"/>
    <x v="4"/>
  </r>
  <r>
    <x v="0"/>
    <x v="0"/>
    <x v="8"/>
    <x v="1"/>
    <n v="40641"/>
    <n v="51959555.759999998"/>
    <n v="2.64"/>
    <n v="44.77"/>
    <n v="31.27"/>
    <n v="151.18"/>
    <n v="66.509999999999906"/>
    <x v="3"/>
  </r>
  <r>
    <x v="0"/>
    <x v="0"/>
    <x v="9"/>
    <x v="1"/>
    <n v="38119"/>
    <n v="49899540.799999997"/>
    <n v="6.84"/>
    <n v="51.21"/>
    <n v="38.33"/>
    <n v="284.33"/>
    <n v="87.01"/>
    <x v="1"/>
  </r>
  <r>
    <x v="0"/>
    <x v="0"/>
    <x v="10"/>
    <x v="1"/>
    <n v="36255"/>
    <n v="12091673.939999999"/>
    <n v="4.66"/>
    <n v="56.5"/>
    <n v="9.77"/>
    <n v="81.430000000000007"/>
    <n v="85.88"/>
    <x v="2"/>
  </r>
  <r>
    <x v="0"/>
    <x v="0"/>
    <x v="11"/>
    <x v="1"/>
    <n v="19643"/>
    <n v="36029498.520000003"/>
    <n v="5.67"/>
    <n v="76.62"/>
    <n v="22.84"/>
    <n v="220.82"/>
    <n v="88.16"/>
    <x v="0"/>
  </r>
  <r>
    <x v="0"/>
    <x v="0"/>
    <x v="12"/>
    <x v="1"/>
    <n v="12612"/>
    <n v="57161551.82"/>
    <n v="3.24"/>
    <n v="64.479999999999905"/>
    <n v="14.98"/>
    <n v="161.49"/>
    <n v="85.67"/>
    <x v="2"/>
  </r>
  <r>
    <x v="0"/>
    <x v="0"/>
    <x v="13"/>
    <x v="1"/>
    <n v="22722"/>
    <n v="45310946.807999998"/>
    <n v="2.88"/>
    <n v="87.12"/>
    <n v="19.04"/>
    <n v="233.87"/>
    <n v="45.66"/>
    <x v="4"/>
  </r>
  <r>
    <x v="0"/>
    <x v="0"/>
    <x v="14"/>
    <x v="1"/>
    <n v="8453"/>
    <n v="46937282.289999999"/>
    <n v="3.48"/>
    <n v="72.729999999999905"/>
    <n v="23.32"/>
    <n v="130.87"/>
    <n v="53.81"/>
    <x v="1"/>
  </r>
  <r>
    <x v="0"/>
    <x v="1"/>
    <x v="0"/>
    <x v="0"/>
    <n v="19160"/>
    <n v="6660064.7999999998"/>
    <n v="1.56"/>
    <n v="67.69"/>
    <n v="14.6"/>
    <n v="156.93"/>
    <n v="64.040000000000006"/>
    <x v="2"/>
  </r>
  <r>
    <x v="0"/>
    <x v="1"/>
    <x v="1"/>
    <x v="0"/>
    <n v="38253"/>
    <n v="53195937.002999999"/>
    <n v="-0.05"/>
    <n v="76.73"/>
    <n v="31.96"/>
    <n v="273.85000000000002"/>
    <n v="38.28"/>
    <x v="2"/>
  </r>
  <r>
    <x v="0"/>
    <x v="1"/>
    <x v="2"/>
    <x v="0"/>
    <n v="17404"/>
    <n v="14950208.85"/>
    <n v="2.5099999999999998"/>
    <n v="38.86"/>
    <n v="36.380000000000003"/>
    <n v="105.21"/>
    <n v="67.78"/>
    <x v="2"/>
  </r>
  <r>
    <x v="0"/>
    <x v="1"/>
    <x v="3"/>
    <x v="0"/>
    <n v="27841"/>
    <n v="9787426.5150000006"/>
    <n v="3.96"/>
    <n v="75.22"/>
    <n v="46.41"/>
    <n v="283.25"/>
    <n v="44.96"/>
    <x v="2"/>
  </r>
  <r>
    <x v="0"/>
    <x v="1"/>
    <x v="4"/>
    <x v="0"/>
    <n v="10047"/>
    <n v="10691516.9"/>
    <n v="1.56"/>
    <n v="45.75"/>
    <n v="15.36"/>
    <n v="112.81"/>
    <n v="85.33"/>
    <x v="2"/>
  </r>
  <r>
    <x v="0"/>
    <x v="1"/>
    <x v="5"/>
    <x v="1"/>
    <n v="25054"/>
    <n v="40495943.740000002"/>
    <n v="4.6399999999999997"/>
    <n v="67.39"/>
    <n v="21.03"/>
    <n v="212.78"/>
    <n v="63.69"/>
    <x v="4"/>
  </r>
  <r>
    <x v="0"/>
    <x v="1"/>
    <x v="6"/>
    <x v="1"/>
    <n v="37263"/>
    <n v="29763310.309999999"/>
    <n v="2.76"/>
    <n v="55.56"/>
    <n v="16.03"/>
    <n v="263.32"/>
    <n v="64.63"/>
    <x v="0"/>
  </r>
  <r>
    <x v="0"/>
    <x v="1"/>
    <x v="7"/>
    <x v="1"/>
    <n v="39191"/>
    <n v="19631909.34"/>
    <n v="3.35"/>
    <n v="100.83"/>
    <n v="49.18"/>
    <n v="59.84"/>
    <n v="53.2"/>
    <x v="3"/>
  </r>
  <r>
    <x v="0"/>
    <x v="1"/>
    <x v="8"/>
    <x v="1"/>
    <n v="11320"/>
    <n v="36678245.920000002"/>
    <n v="5.99"/>
    <n v="50.12"/>
    <n v="43.18"/>
    <n v="251.51"/>
    <n v="88.81"/>
    <x v="3"/>
  </r>
  <r>
    <x v="0"/>
    <x v="1"/>
    <x v="9"/>
    <x v="1"/>
    <n v="31105"/>
    <n v="12818738.02"/>
    <n v="4.7699999999999996"/>
    <n v="93.04"/>
    <n v="20.52"/>
    <n v="110.55"/>
    <n v="73.069999999999993"/>
    <x v="3"/>
  </r>
  <r>
    <x v="0"/>
    <x v="1"/>
    <x v="10"/>
    <x v="1"/>
    <n v="24185"/>
    <n v="52192972.549999997"/>
    <n v="2.95"/>
    <n v="40.549999999999997"/>
    <n v="46.73"/>
    <n v="200.47"/>
    <n v="83.06"/>
    <x v="2"/>
  </r>
  <r>
    <x v="0"/>
    <x v="1"/>
    <x v="11"/>
    <x v="1"/>
    <n v="8422"/>
    <n v="11292488.050000001"/>
    <n v="6"/>
    <n v="55.76"/>
    <n v="30.55"/>
    <n v="170.31"/>
    <n v="78.44"/>
    <x v="1"/>
  </r>
  <r>
    <x v="0"/>
    <x v="1"/>
    <x v="12"/>
    <x v="1"/>
    <n v="56397"/>
    <n v="18390883.850000001"/>
    <n v="6.11"/>
    <n v="70.959999999999994"/>
    <n v="23.8"/>
    <n v="167.75"/>
    <n v="55.21"/>
    <x v="3"/>
  </r>
  <r>
    <x v="0"/>
    <x v="1"/>
    <x v="13"/>
    <x v="1"/>
    <n v="36613"/>
    <n v="63070767.789999999"/>
    <n v="3.25"/>
    <n v="83.96"/>
    <n v="13.22"/>
    <n v="280.73"/>
    <n v="75.510000000000005"/>
    <x v="3"/>
  </r>
  <r>
    <x v="0"/>
    <x v="1"/>
    <x v="14"/>
    <x v="1"/>
    <n v="12030"/>
    <n v="33549565.920000002"/>
    <n v="5.82"/>
    <n v="48.62"/>
    <n v="36.32"/>
    <n v="227.63"/>
    <n v="91.79"/>
    <x v="1"/>
  </r>
  <r>
    <x v="0"/>
    <x v="2"/>
    <x v="0"/>
    <x v="0"/>
    <n v="27112"/>
    <n v="27051337.739999998"/>
    <n v="3.78"/>
    <n v="61.35"/>
    <n v="47.48"/>
    <n v="152"/>
    <n v="50.23"/>
    <x v="3"/>
  </r>
  <r>
    <x v="0"/>
    <x v="2"/>
    <x v="1"/>
    <x v="0"/>
    <n v="28788"/>
    <n v="10130230.560000001"/>
    <n v="1.38"/>
    <n v="25.88"/>
    <n v="6.92"/>
    <n v="129.04"/>
    <n v="46.41"/>
    <x v="2"/>
  </r>
  <r>
    <x v="0"/>
    <x v="2"/>
    <x v="2"/>
    <x v="0"/>
    <n v="29329"/>
    <n v="11066723.119999999"/>
    <n v="1.23"/>
    <n v="57.98"/>
    <n v="32.340000000000003"/>
    <n v="132.81"/>
    <n v="77.31"/>
    <x v="0"/>
  </r>
  <r>
    <x v="0"/>
    <x v="2"/>
    <x v="3"/>
    <x v="0"/>
    <n v="12535"/>
    <n v="28466176.109999999"/>
    <n v="2.09"/>
    <n v="55.61"/>
    <n v="31.12"/>
    <n v="111.28"/>
    <n v="47.14"/>
    <x v="1"/>
  </r>
  <r>
    <x v="0"/>
    <x v="2"/>
    <x v="4"/>
    <x v="0"/>
    <n v="20683"/>
    <n v="15828498.960000001"/>
    <n v="0.34"/>
    <n v="30.32"/>
    <n v="-0.65"/>
    <n v="239.67"/>
    <n v="46.13"/>
    <x v="4"/>
  </r>
  <r>
    <x v="0"/>
    <x v="2"/>
    <x v="5"/>
    <x v="1"/>
    <n v="57404"/>
    <n v="22248956.960000001"/>
    <n v="6.12"/>
    <n v="83.5"/>
    <n v="46.57"/>
    <n v="211.08"/>
    <n v="58.89"/>
    <x v="4"/>
  </r>
  <r>
    <x v="0"/>
    <x v="2"/>
    <x v="6"/>
    <x v="1"/>
    <n v="56869"/>
    <n v="78970161.311999902"/>
    <n v="6.12"/>
    <n v="102.54"/>
    <n v="21.09"/>
    <n v="83.18"/>
    <n v="94.7"/>
    <x v="1"/>
  </r>
  <r>
    <x v="0"/>
    <x v="2"/>
    <x v="7"/>
    <x v="1"/>
    <n v="6542"/>
    <n v="13222480.68"/>
    <n v="3.5"/>
    <n v="88.84"/>
    <n v="26.74"/>
    <n v="115.63"/>
    <n v="54.75"/>
    <x v="0"/>
  </r>
  <r>
    <x v="0"/>
    <x v="2"/>
    <x v="8"/>
    <x v="1"/>
    <n v="57951"/>
    <n v="41600297.390000001"/>
    <n v="2.72"/>
    <n v="55.58"/>
    <n v="17.57"/>
    <n v="184.77"/>
    <n v="67.900000000000006"/>
    <x v="0"/>
  </r>
  <r>
    <x v="0"/>
    <x v="2"/>
    <x v="9"/>
    <x v="1"/>
    <n v="25004"/>
    <n v="28940719.489999998"/>
    <n v="6.33"/>
    <n v="45.56"/>
    <n v="44.29"/>
    <n v="124.19"/>
    <n v="54.15"/>
    <x v="4"/>
  </r>
  <r>
    <x v="0"/>
    <x v="2"/>
    <x v="10"/>
    <x v="1"/>
    <n v="15756"/>
    <n v="19796585.920000002"/>
    <n v="3.58"/>
    <n v="76.64"/>
    <n v="36.22"/>
    <n v="206.39"/>
    <n v="88.16"/>
    <x v="2"/>
  </r>
  <r>
    <x v="0"/>
    <x v="2"/>
    <x v="11"/>
    <x v="1"/>
    <n v="56418"/>
    <n v="53656997.799999997"/>
    <n v="6.91"/>
    <n v="54.03"/>
    <n v="24.27"/>
    <n v="61.49"/>
    <n v="87.97"/>
    <x v="2"/>
  </r>
  <r>
    <x v="0"/>
    <x v="2"/>
    <x v="12"/>
    <x v="1"/>
    <n v="30819"/>
    <n v="60274563.340000004"/>
    <n v="3.44"/>
    <n v="41.17"/>
    <n v="26.42"/>
    <n v="199.68"/>
    <n v="61.6"/>
    <x v="3"/>
  </r>
  <r>
    <x v="0"/>
    <x v="2"/>
    <x v="13"/>
    <x v="1"/>
    <n v="18284"/>
    <n v="26788292.559999999"/>
    <n v="6.45"/>
    <n v="80"/>
    <n v="23.63"/>
    <n v="137.72999999999999"/>
    <n v="81.319999999999993"/>
    <x v="1"/>
  </r>
  <r>
    <x v="0"/>
    <x v="2"/>
    <x v="14"/>
    <x v="1"/>
    <n v="48617"/>
    <n v="6134803.4639999997"/>
    <n v="6.48"/>
    <n v="91.79"/>
    <n v="54.94"/>
    <n v="88.28"/>
    <n v="82.55"/>
    <x v="1"/>
  </r>
  <r>
    <x v="0"/>
    <x v="3"/>
    <x v="0"/>
    <x v="0"/>
    <n v="30040"/>
    <n v="34166065.189999998"/>
    <n v="1.5699999999999901"/>
    <n v="28.49"/>
    <n v="47.01"/>
    <n v="243.47"/>
    <n v="58.24"/>
    <x v="3"/>
  </r>
  <r>
    <x v="0"/>
    <x v="3"/>
    <x v="1"/>
    <x v="0"/>
    <n v="40978"/>
    <n v="52202051.460000001"/>
    <n v="0.34"/>
    <n v="39.979999999999997"/>
    <n v="44.96"/>
    <n v="130.25"/>
    <n v="45.44"/>
    <x v="4"/>
  </r>
  <r>
    <x v="0"/>
    <x v="3"/>
    <x v="2"/>
    <x v="0"/>
    <n v="46113"/>
    <n v="23485210.48"/>
    <n v="1.89"/>
    <n v="69.900000000000006"/>
    <n v="13.34"/>
    <n v="167.31"/>
    <n v="45.48"/>
    <x v="4"/>
  </r>
  <r>
    <x v="0"/>
    <x v="3"/>
    <x v="3"/>
    <x v="0"/>
    <n v="8438"/>
    <n v="35324703.520000003"/>
    <n v="2.29"/>
    <n v="80.900000000000006"/>
    <n v="10.53"/>
    <n v="80.150000000000006"/>
    <n v="75.72"/>
    <x v="2"/>
  </r>
  <r>
    <x v="0"/>
    <x v="3"/>
    <x v="4"/>
    <x v="0"/>
    <n v="23500"/>
    <n v="33337345.93"/>
    <n v="3.74"/>
    <n v="33.06"/>
    <n v="18.7"/>
    <n v="73.31"/>
    <n v="70.739999999999995"/>
    <x v="4"/>
  </r>
  <r>
    <x v="0"/>
    <x v="3"/>
    <x v="5"/>
    <x v="1"/>
    <n v="40164"/>
    <n v="21739755.84"/>
    <n v="3.76"/>
    <n v="50.13"/>
    <n v="13.99"/>
    <n v="210.05"/>
    <n v="58.83"/>
    <x v="1"/>
  </r>
  <r>
    <x v="0"/>
    <x v="3"/>
    <x v="6"/>
    <x v="1"/>
    <n v="53367"/>
    <n v="69827344.420000002"/>
    <n v="6.1"/>
    <n v="95.93"/>
    <n v="47.57"/>
    <n v="185.7"/>
    <n v="93.45"/>
    <x v="3"/>
  </r>
  <r>
    <x v="0"/>
    <x v="3"/>
    <x v="7"/>
    <x v="1"/>
    <n v="37612"/>
    <n v="34802846.640000001"/>
    <n v="2.5299999999999998"/>
    <n v="66.459999999999994"/>
    <n v="24.02"/>
    <n v="120.07"/>
    <n v="87.24"/>
    <x v="2"/>
  </r>
  <r>
    <x v="0"/>
    <x v="3"/>
    <x v="8"/>
    <x v="1"/>
    <n v="31445"/>
    <n v="62662104.5"/>
    <n v="4.8599999999999897"/>
    <n v="61.44"/>
    <n v="27.46"/>
    <n v="183.03"/>
    <n v="72.209999999999994"/>
    <x v="0"/>
  </r>
  <r>
    <x v="0"/>
    <x v="3"/>
    <x v="9"/>
    <x v="1"/>
    <n v="34541"/>
    <n v="23308775.82"/>
    <n v="4.0299999999999896"/>
    <n v="59.35"/>
    <n v="8.3699999999999992"/>
    <n v="138.66999999999999"/>
    <n v="80.349999999999994"/>
    <x v="1"/>
  </r>
  <r>
    <x v="0"/>
    <x v="3"/>
    <x v="10"/>
    <x v="1"/>
    <n v="6719"/>
    <n v="38311286.359999999"/>
    <n v="5.38"/>
    <n v="42.55"/>
    <n v="50.32"/>
    <n v="110.97"/>
    <n v="87.8"/>
    <x v="0"/>
  </r>
  <r>
    <x v="0"/>
    <x v="3"/>
    <x v="11"/>
    <x v="1"/>
    <n v="32919"/>
    <n v="38143238.390000001"/>
    <n v="6.62"/>
    <n v="79.48"/>
    <n v="45.85"/>
    <n v="295.62"/>
    <n v="58.71"/>
    <x v="3"/>
  </r>
  <r>
    <x v="0"/>
    <x v="3"/>
    <x v="12"/>
    <x v="1"/>
    <n v="46371"/>
    <n v="71988709.969999999"/>
    <n v="3.21"/>
    <n v="88.89"/>
    <n v="48.87"/>
    <n v="265.70999999999998"/>
    <n v="90.81"/>
    <x v="4"/>
  </r>
  <r>
    <x v="0"/>
    <x v="3"/>
    <x v="13"/>
    <x v="1"/>
    <n v="40084"/>
    <n v="17163852.827999901"/>
    <n v="6.33"/>
    <n v="42.8"/>
    <n v="48.55"/>
    <n v="156.88"/>
    <n v="53.55"/>
    <x v="0"/>
  </r>
  <r>
    <x v="0"/>
    <x v="3"/>
    <x v="14"/>
    <x v="1"/>
    <n v="20192"/>
    <n v="14639182.699999999"/>
    <n v="4.6099999999999897"/>
    <n v="48.26"/>
    <n v="50.86"/>
    <n v="195.2"/>
    <n v="60.91"/>
    <x v="1"/>
  </r>
  <r>
    <x v="1"/>
    <x v="0"/>
    <x v="0"/>
    <x v="0"/>
    <n v="17825"/>
    <n v="37347187.770000003"/>
    <n v="0.159999999999999"/>
    <n v="62.97"/>
    <n v="26.44"/>
    <n v="245.48"/>
    <n v="75.23"/>
    <x v="4"/>
  </r>
  <r>
    <x v="1"/>
    <x v="0"/>
    <x v="1"/>
    <x v="0"/>
    <n v="21472"/>
    <n v="34965645.310000002"/>
    <n v="0.25"/>
    <n v="49.22"/>
    <n v="24.99"/>
    <n v="247.01"/>
    <n v="80.17"/>
    <x v="1"/>
  </r>
  <r>
    <x v="1"/>
    <x v="0"/>
    <x v="2"/>
    <x v="0"/>
    <n v="35641"/>
    <n v="48775290.390000001"/>
    <n v="3.88"/>
    <n v="60.51"/>
    <n v="6.1"/>
    <n v="196.59"/>
    <n v="78.94"/>
    <x v="3"/>
  </r>
  <r>
    <x v="1"/>
    <x v="0"/>
    <x v="3"/>
    <x v="0"/>
    <n v="18960"/>
    <n v="25972084.140000001"/>
    <n v="0.53"/>
    <n v="72.69"/>
    <n v="26.51"/>
    <n v="157.1"/>
    <n v="53.68"/>
    <x v="1"/>
  </r>
  <r>
    <x v="1"/>
    <x v="0"/>
    <x v="4"/>
    <x v="0"/>
    <n v="18546"/>
    <n v="42315159.990000002"/>
    <n v="1.81"/>
    <n v="58.09"/>
    <n v="33.08"/>
    <n v="110.9"/>
    <n v="49.63"/>
    <x v="1"/>
  </r>
  <r>
    <x v="1"/>
    <x v="0"/>
    <x v="5"/>
    <x v="1"/>
    <n v="42883"/>
    <n v="18588730.370000001"/>
    <n v="6.37"/>
    <n v="72.87"/>
    <n v="45.86"/>
    <n v="273.58999999999997"/>
    <n v="52.9"/>
    <x v="0"/>
  </r>
  <r>
    <x v="1"/>
    <x v="0"/>
    <x v="6"/>
    <x v="1"/>
    <n v="49662"/>
    <n v="52134225.079999998"/>
    <n v="2.9"/>
    <n v="96.42"/>
    <n v="52.2"/>
    <n v="187.23"/>
    <n v="76.5"/>
    <x v="2"/>
  </r>
  <r>
    <x v="1"/>
    <x v="0"/>
    <x v="7"/>
    <x v="1"/>
    <n v="48484"/>
    <n v="10752134.16"/>
    <n v="3.75"/>
    <n v="41.49"/>
    <n v="10.67"/>
    <n v="87.88"/>
    <n v="79.09"/>
    <x v="2"/>
  </r>
  <r>
    <x v="1"/>
    <x v="0"/>
    <x v="8"/>
    <x v="1"/>
    <n v="11438"/>
    <n v="56002244.289999999"/>
    <n v="6.33"/>
    <n v="93.95"/>
    <n v="52.02"/>
    <n v="168.24"/>
    <n v="63.04"/>
    <x v="0"/>
  </r>
  <r>
    <x v="1"/>
    <x v="0"/>
    <x v="9"/>
    <x v="1"/>
    <n v="58199"/>
    <n v="35481161.409999996"/>
    <n v="5.66"/>
    <n v="42.96"/>
    <n v="27.95"/>
    <n v="151.66"/>
    <n v="52.29"/>
    <x v="1"/>
  </r>
  <r>
    <x v="1"/>
    <x v="0"/>
    <x v="10"/>
    <x v="1"/>
    <n v="40807"/>
    <n v="28409469.32"/>
    <n v="3.04"/>
    <n v="47.56"/>
    <n v="33.590000000000003"/>
    <n v="95.38"/>
    <n v="57.91"/>
    <x v="1"/>
  </r>
  <r>
    <x v="1"/>
    <x v="0"/>
    <x v="11"/>
    <x v="1"/>
    <n v="27476"/>
    <n v="29188076.98"/>
    <n v="4.96"/>
    <n v="54.96"/>
    <n v="34.619999999999997"/>
    <n v="228.07"/>
    <n v="69.239999999999995"/>
    <x v="3"/>
  </r>
  <r>
    <x v="1"/>
    <x v="0"/>
    <x v="12"/>
    <x v="1"/>
    <n v="25491"/>
    <n v="13470114.800000001"/>
    <n v="6.6"/>
    <n v="70"/>
    <n v="41.55"/>
    <n v="54.56"/>
    <n v="66.45"/>
    <x v="2"/>
  </r>
  <r>
    <x v="1"/>
    <x v="0"/>
    <x v="13"/>
    <x v="1"/>
    <n v="57319"/>
    <n v="64038833.049999997"/>
    <n v="5.25"/>
    <n v="98.77"/>
    <n v="44.44"/>
    <n v="187.76"/>
    <n v="51.45"/>
    <x v="3"/>
  </r>
  <r>
    <x v="1"/>
    <x v="0"/>
    <x v="14"/>
    <x v="1"/>
    <n v="53118"/>
    <n v="71564619.920000002"/>
    <n v="4.21"/>
    <n v="103.57"/>
    <n v="52.17"/>
    <n v="120.41"/>
    <n v="76.81"/>
    <x v="3"/>
  </r>
  <r>
    <x v="1"/>
    <x v="1"/>
    <x v="0"/>
    <x v="0"/>
    <n v="21197"/>
    <n v="22480526.16"/>
    <n v="1.84"/>
    <n v="39.26"/>
    <n v="10.62"/>
    <n v="193.23"/>
    <n v="38.5"/>
    <x v="1"/>
  </r>
  <r>
    <x v="1"/>
    <x v="1"/>
    <x v="1"/>
    <x v="0"/>
    <n v="8785"/>
    <n v="16339172.24"/>
    <n v="-0.36"/>
    <n v="50.5"/>
    <n v="16.16"/>
    <n v="96.06"/>
    <n v="70.489999999999995"/>
    <x v="4"/>
  </r>
  <r>
    <x v="1"/>
    <x v="1"/>
    <x v="2"/>
    <x v="0"/>
    <n v="43775"/>
    <n v="10852645.859999999"/>
    <n v="2.71"/>
    <n v="42.03"/>
    <n v="29.43"/>
    <n v="282.82"/>
    <n v="64.08"/>
    <x v="4"/>
  </r>
  <r>
    <x v="1"/>
    <x v="1"/>
    <x v="3"/>
    <x v="0"/>
    <n v="29178"/>
    <n v="41803911.049999997"/>
    <n v="2.59"/>
    <n v="47.84"/>
    <n v="16.52"/>
    <n v="134.32"/>
    <n v="74.930000000000007"/>
    <x v="1"/>
  </r>
  <r>
    <x v="1"/>
    <x v="1"/>
    <x v="4"/>
    <x v="0"/>
    <n v="8601"/>
    <n v="32922566.239999998"/>
    <n v="2.99"/>
    <n v="82.16"/>
    <n v="47.56"/>
    <n v="139.41999999999999"/>
    <n v="52.96"/>
    <x v="0"/>
  </r>
  <r>
    <x v="1"/>
    <x v="1"/>
    <x v="5"/>
    <x v="1"/>
    <n v="51214"/>
    <n v="22604101.449999999"/>
    <n v="3.88"/>
    <n v="98.74"/>
    <n v="29.87"/>
    <n v="153.44999999999999"/>
    <n v="54.94"/>
    <x v="3"/>
  </r>
  <r>
    <x v="1"/>
    <x v="1"/>
    <x v="6"/>
    <x v="1"/>
    <n v="58086"/>
    <n v="50254952.18"/>
    <n v="6.19"/>
    <n v="46.93"/>
    <n v="40.93"/>
    <n v="130.68"/>
    <n v="54.46"/>
    <x v="4"/>
  </r>
  <r>
    <x v="1"/>
    <x v="1"/>
    <x v="7"/>
    <x v="1"/>
    <n v="63974"/>
    <n v="66783552.340000004"/>
    <n v="4.99"/>
    <n v="43.38"/>
    <n v="39.44"/>
    <n v="264.14999999999998"/>
    <n v="79.22"/>
    <x v="2"/>
  </r>
  <r>
    <x v="1"/>
    <x v="1"/>
    <x v="8"/>
    <x v="1"/>
    <n v="47829"/>
    <n v="6077295.0480000004"/>
    <n v="3.59"/>
    <n v="88.79"/>
    <n v="32.57"/>
    <n v="175.9"/>
    <n v="45.25"/>
    <x v="3"/>
  </r>
  <r>
    <x v="1"/>
    <x v="1"/>
    <x v="9"/>
    <x v="1"/>
    <n v="41163"/>
    <n v="19005446.109999999"/>
    <n v="4.79"/>
    <n v="51.77"/>
    <n v="44.26"/>
    <n v="210.86"/>
    <n v="88.02"/>
    <x v="4"/>
  </r>
  <r>
    <x v="1"/>
    <x v="1"/>
    <x v="10"/>
    <x v="1"/>
    <n v="27381"/>
    <n v="65294982.829999998"/>
    <n v="2.65"/>
    <n v="62.02"/>
    <n v="25.37"/>
    <n v="130.24"/>
    <n v="86.46"/>
    <x v="3"/>
  </r>
  <r>
    <x v="1"/>
    <x v="1"/>
    <x v="11"/>
    <x v="1"/>
    <n v="61462"/>
    <n v="55137531.491999902"/>
    <n v="5.7799999999999896"/>
    <n v="89.44"/>
    <n v="51.04"/>
    <n v="280.82"/>
    <n v="85.04"/>
    <x v="1"/>
  </r>
  <r>
    <x v="1"/>
    <x v="1"/>
    <x v="12"/>
    <x v="1"/>
    <n v="10455"/>
    <n v="27982805.100000001"/>
    <n v="6.83"/>
    <n v="69.099999999999994"/>
    <n v="10.39"/>
    <n v="105.02"/>
    <n v="75.930000000000007"/>
    <x v="1"/>
  </r>
  <r>
    <x v="1"/>
    <x v="1"/>
    <x v="13"/>
    <x v="1"/>
    <n v="53896"/>
    <n v="47982928.727999903"/>
    <n v="3.17"/>
    <n v="75.16"/>
    <n v="22.74"/>
    <n v="92.93"/>
    <n v="86.89"/>
    <x v="1"/>
  </r>
  <r>
    <x v="1"/>
    <x v="1"/>
    <x v="14"/>
    <x v="1"/>
    <n v="47830"/>
    <n v="79207664.340000004"/>
    <n v="3.46"/>
    <n v="58.97"/>
    <n v="52.43"/>
    <n v="236.28"/>
    <n v="50.08"/>
    <x v="0"/>
  </r>
  <r>
    <x v="1"/>
    <x v="2"/>
    <x v="0"/>
    <x v="0"/>
    <n v="27328"/>
    <n v="31739575.949999999"/>
    <n v="-0.42"/>
    <n v="68.61"/>
    <n v="19.37"/>
    <n v="57.25"/>
    <n v="41.31"/>
    <x v="2"/>
  </r>
  <r>
    <x v="1"/>
    <x v="2"/>
    <x v="1"/>
    <x v="0"/>
    <n v="38772"/>
    <n v="27841226.879999999"/>
    <n v="3.48"/>
    <n v="60.92"/>
    <n v="27.62"/>
    <n v="136.07"/>
    <n v="84.47"/>
    <x v="4"/>
  </r>
  <r>
    <x v="1"/>
    <x v="2"/>
    <x v="2"/>
    <x v="0"/>
    <n v="7511"/>
    <n v="31385211.280000001"/>
    <n v="1.48"/>
    <n v="60"/>
    <n v="1.68"/>
    <n v="52.52"/>
    <n v="85.45"/>
    <x v="3"/>
  </r>
  <r>
    <x v="1"/>
    <x v="2"/>
    <x v="3"/>
    <x v="0"/>
    <n v="16212"/>
    <n v="59842662.149999999"/>
    <n v="0.36"/>
    <n v="81.98"/>
    <n v="6.72"/>
    <n v="59.98"/>
    <n v="45.43"/>
    <x v="2"/>
  </r>
  <r>
    <x v="1"/>
    <x v="2"/>
    <x v="4"/>
    <x v="0"/>
    <n v="44767"/>
    <n v="6397386.2189999996"/>
    <n v="2.66"/>
    <n v="65.67"/>
    <n v="24.92"/>
    <n v="94.9"/>
    <n v="53.63"/>
    <x v="2"/>
  </r>
  <r>
    <x v="1"/>
    <x v="2"/>
    <x v="5"/>
    <x v="1"/>
    <n v="29628"/>
    <n v="50812407.275999904"/>
    <n v="5.1099999999999897"/>
    <n v="88.32"/>
    <n v="13.49"/>
    <n v="66.69"/>
    <n v="63.04"/>
    <x v="0"/>
  </r>
  <r>
    <x v="1"/>
    <x v="2"/>
    <x v="6"/>
    <x v="1"/>
    <n v="63137"/>
    <n v="23567297.829999998"/>
    <n v="4.79"/>
    <n v="66.150000000000006"/>
    <n v="49.64"/>
    <n v="94.47"/>
    <n v="82.6"/>
    <x v="3"/>
  </r>
  <r>
    <x v="1"/>
    <x v="2"/>
    <x v="7"/>
    <x v="1"/>
    <n v="56115"/>
    <n v="16158944.449999999"/>
    <n v="6.22"/>
    <n v="91.44"/>
    <n v="29.96"/>
    <n v="193.54"/>
    <n v="89.31"/>
    <x v="4"/>
  </r>
  <r>
    <x v="1"/>
    <x v="2"/>
    <x v="8"/>
    <x v="1"/>
    <n v="33872"/>
    <n v="60050676.799999997"/>
    <n v="2.94"/>
    <n v="88.63"/>
    <n v="27.11"/>
    <n v="186.09"/>
    <n v="61.17"/>
    <x v="2"/>
  </r>
  <r>
    <x v="1"/>
    <x v="2"/>
    <x v="9"/>
    <x v="1"/>
    <n v="56598"/>
    <n v="9650777.5319999997"/>
    <n v="6.61"/>
    <n v="77.650000000000006"/>
    <n v="26.15"/>
    <n v="69.040000000000006"/>
    <n v="88.7"/>
    <x v="1"/>
  </r>
  <r>
    <x v="1"/>
    <x v="2"/>
    <x v="10"/>
    <x v="1"/>
    <n v="8082"/>
    <n v="53518254.119999997"/>
    <n v="3.35"/>
    <n v="102.49"/>
    <n v="49.53"/>
    <n v="289.41000000000003"/>
    <n v="93.02"/>
    <x v="4"/>
  </r>
  <r>
    <x v="1"/>
    <x v="2"/>
    <x v="11"/>
    <x v="1"/>
    <n v="53108"/>
    <n v="8982957.7799999993"/>
    <n v="6.02"/>
    <n v="47.8"/>
    <n v="32.450000000000003"/>
    <n v="100.39"/>
    <n v="59.44"/>
    <x v="1"/>
  </r>
  <r>
    <x v="1"/>
    <x v="2"/>
    <x v="12"/>
    <x v="1"/>
    <n v="42820"/>
    <n v="5518854.45599999"/>
    <n v="6.58"/>
    <n v="41.01"/>
    <n v="18.12"/>
    <n v="169.67"/>
    <n v="79.56"/>
    <x v="4"/>
  </r>
  <r>
    <x v="1"/>
    <x v="2"/>
    <x v="13"/>
    <x v="1"/>
    <n v="55164"/>
    <n v="9027240.9240000006"/>
    <n v="4.7699999999999996"/>
    <n v="48.66"/>
    <n v="29.6"/>
    <n v="94.48"/>
    <n v="55.85"/>
    <x v="4"/>
  </r>
  <r>
    <x v="1"/>
    <x v="2"/>
    <x v="14"/>
    <x v="1"/>
    <n v="12993"/>
    <n v="7444019.2560000001"/>
    <n v="3.67"/>
    <n v="53.23"/>
    <n v="49.96"/>
    <n v="236.45"/>
    <n v="87.73"/>
    <x v="3"/>
  </r>
  <r>
    <x v="1"/>
    <x v="3"/>
    <x v="0"/>
    <x v="0"/>
    <n v="49522"/>
    <n v="13749933.390000001"/>
    <n v="0.73"/>
    <n v="68.38"/>
    <n v="46.89"/>
    <n v="221.54"/>
    <n v="67.28"/>
    <x v="3"/>
  </r>
  <r>
    <x v="1"/>
    <x v="3"/>
    <x v="1"/>
    <x v="0"/>
    <n v="35672"/>
    <n v="43822054.960000001"/>
    <n v="0.84"/>
    <n v="44.22"/>
    <n v="46.9"/>
    <n v="285.05"/>
    <n v="50.09"/>
    <x v="0"/>
  </r>
  <r>
    <x v="1"/>
    <x v="3"/>
    <x v="2"/>
    <x v="0"/>
    <n v="23896"/>
    <n v="18747121.280000001"/>
    <n v="-0.49"/>
    <n v="32.090000000000003"/>
    <n v="10.83"/>
    <n v="225.49"/>
    <n v="56.78"/>
    <x v="2"/>
  </r>
  <r>
    <x v="1"/>
    <x v="3"/>
    <x v="3"/>
    <x v="0"/>
    <n v="7473"/>
    <n v="19621770.609999999"/>
    <n v="3.88"/>
    <n v="74.66"/>
    <n v="27.55"/>
    <n v="177.22"/>
    <n v="72.36"/>
    <x v="3"/>
  </r>
  <r>
    <x v="1"/>
    <x v="3"/>
    <x v="4"/>
    <x v="0"/>
    <n v="11913"/>
    <n v="41627181.200000003"/>
    <n v="-0.35"/>
    <n v="64.459999999999994"/>
    <n v="0.83999999999999897"/>
    <n v="155.16"/>
    <n v="44.89"/>
    <x v="1"/>
  </r>
  <r>
    <x v="1"/>
    <x v="3"/>
    <x v="5"/>
    <x v="1"/>
    <n v="39692"/>
    <n v="34859771.57"/>
    <n v="6.62"/>
    <n v="87.81"/>
    <n v="39.64"/>
    <n v="189.6"/>
    <n v="62.18"/>
    <x v="0"/>
  </r>
  <r>
    <x v="1"/>
    <x v="3"/>
    <x v="6"/>
    <x v="1"/>
    <n v="48805"/>
    <n v="32349455.399999999"/>
    <n v="4.42"/>
    <n v="99.33"/>
    <n v="33.79"/>
    <n v="96.26"/>
    <n v="57.17"/>
    <x v="3"/>
  </r>
  <r>
    <x v="1"/>
    <x v="3"/>
    <x v="7"/>
    <x v="1"/>
    <n v="8115"/>
    <n v="44826833.530000001"/>
    <n v="4.6500000000000004"/>
    <n v="62.42"/>
    <n v="41.52"/>
    <n v="295.85000000000002"/>
    <n v="48.71"/>
    <x v="0"/>
  </r>
  <r>
    <x v="1"/>
    <x v="3"/>
    <x v="8"/>
    <x v="1"/>
    <n v="52951"/>
    <n v="13524137.65"/>
    <n v="2.83"/>
    <n v="73.069999999999993"/>
    <n v="27.79"/>
    <n v="52.85"/>
    <n v="70.84"/>
    <x v="4"/>
  </r>
  <r>
    <x v="1"/>
    <x v="3"/>
    <x v="9"/>
    <x v="1"/>
    <n v="40353"/>
    <n v="16476389.24"/>
    <n v="3.06"/>
    <n v="46.41"/>
    <n v="21.11"/>
    <n v="194.98"/>
    <n v="54.61"/>
    <x v="2"/>
  </r>
  <r>
    <x v="1"/>
    <x v="3"/>
    <x v="10"/>
    <x v="1"/>
    <n v="26015"/>
    <n v="13548942.4439999"/>
    <n v="5.19"/>
    <n v="92.87"/>
    <n v="45.67"/>
    <n v="248.52"/>
    <n v="85.87"/>
    <x v="3"/>
  </r>
  <r>
    <x v="1"/>
    <x v="3"/>
    <x v="11"/>
    <x v="1"/>
    <n v="11163"/>
    <n v="12032304.635999899"/>
    <n v="3.84"/>
    <n v="40.71"/>
    <n v="45.09"/>
    <n v="122.22"/>
    <n v="83.63"/>
    <x v="3"/>
  </r>
  <r>
    <x v="1"/>
    <x v="3"/>
    <x v="12"/>
    <x v="1"/>
    <n v="36975"/>
    <n v="33358884.739999998"/>
    <n v="5.3599999999999897"/>
    <n v="74.28"/>
    <n v="33.57"/>
    <n v="72.540000000000006"/>
    <n v="57.77"/>
    <x v="3"/>
  </r>
  <r>
    <x v="1"/>
    <x v="3"/>
    <x v="13"/>
    <x v="1"/>
    <n v="28163"/>
    <n v="76740547.760000005"/>
    <n v="6.5"/>
    <n v="49.19"/>
    <n v="23.05"/>
    <n v="154.41999999999999"/>
    <n v="78.77"/>
    <x v="1"/>
  </r>
  <r>
    <x v="1"/>
    <x v="3"/>
    <x v="14"/>
    <x v="1"/>
    <n v="49246"/>
    <n v="5030391.84"/>
    <n v="6.07"/>
    <n v="51.07"/>
    <n v="47.75"/>
    <n v="137.41999999999999"/>
    <n v="71.5"/>
    <x v="2"/>
  </r>
  <r>
    <x v="2"/>
    <x v="0"/>
    <x v="0"/>
    <x v="0"/>
    <n v="44456"/>
    <n v="14331275.99"/>
    <n v="0.64999999999999902"/>
    <n v="61.11"/>
    <n v="40.369999999999997"/>
    <n v="129.5"/>
    <n v="66.930000000000007"/>
    <x v="3"/>
  </r>
  <r>
    <x v="2"/>
    <x v="0"/>
    <x v="1"/>
    <x v="0"/>
    <n v="6548"/>
    <n v="54168172.520000003"/>
    <n v="2.64"/>
    <n v="63.01"/>
    <n v="17.850000000000001"/>
    <n v="279.58"/>
    <n v="73.97"/>
    <x v="4"/>
  </r>
  <r>
    <x v="2"/>
    <x v="0"/>
    <x v="2"/>
    <x v="0"/>
    <n v="36129"/>
    <n v="28657040.440000001"/>
    <n v="0.49"/>
    <n v="60.6"/>
    <n v="1.5699999999999901"/>
    <n v="209.38"/>
    <n v="62.41"/>
    <x v="2"/>
  </r>
  <r>
    <x v="2"/>
    <x v="0"/>
    <x v="3"/>
    <x v="0"/>
    <n v="36476"/>
    <n v="9769649.4360000007"/>
    <n v="0.39999999999999902"/>
    <n v="67.05"/>
    <n v="29.96"/>
    <n v="138.12"/>
    <n v="52.54"/>
    <x v="4"/>
  </r>
  <r>
    <x v="2"/>
    <x v="0"/>
    <x v="4"/>
    <x v="0"/>
    <n v="34090"/>
    <n v="7777936.3679999998"/>
    <n v="3.54"/>
    <n v="71.27"/>
    <n v="41.68"/>
    <n v="171.59"/>
    <n v="50.17"/>
    <x v="2"/>
  </r>
  <r>
    <x v="2"/>
    <x v="0"/>
    <x v="5"/>
    <x v="1"/>
    <n v="30278"/>
    <n v="12377641.48"/>
    <n v="3.86"/>
    <n v="40.51"/>
    <n v="51.79"/>
    <n v="184.8"/>
    <n v="61.75"/>
    <x v="2"/>
  </r>
  <r>
    <x v="2"/>
    <x v="0"/>
    <x v="6"/>
    <x v="1"/>
    <n v="57898"/>
    <n v="19848318.309999999"/>
    <n v="4.43"/>
    <n v="45.27"/>
    <n v="23.12"/>
    <n v="277.64999999999998"/>
    <n v="55.07"/>
    <x v="1"/>
  </r>
  <r>
    <x v="2"/>
    <x v="0"/>
    <x v="7"/>
    <x v="1"/>
    <n v="44847"/>
    <n v="14310727.310000001"/>
    <n v="5.07"/>
    <n v="66.56"/>
    <n v="16.829999999999998"/>
    <n v="97.53"/>
    <n v="53.5"/>
    <x v="4"/>
  </r>
  <r>
    <x v="2"/>
    <x v="0"/>
    <x v="8"/>
    <x v="1"/>
    <n v="6557"/>
    <n v="41433407.509999998"/>
    <n v="2.69"/>
    <n v="94.68"/>
    <n v="54.35"/>
    <n v="127.45"/>
    <n v="85.11"/>
    <x v="0"/>
  </r>
  <r>
    <x v="2"/>
    <x v="0"/>
    <x v="9"/>
    <x v="1"/>
    <n v="58334"/>
    <n v="67042799.399999999"/>
    <n v="6.02"/>
    <n v="90.08"/>
    <n v="10.35"/>
    <n v="102.66"/>
    <n v="60.11"/>
    <x v="4"/>
  </r>
  <r>
    <x v="2"/>
    <x v="0"/>
    <x v="10"/>
    <x v="1"/>
    <n v="42025"/>
    <n v="46339655.030000001"/>
    <n v="4.66"/>
    <n v="82.85"/>
    <n v="36.11"/>
    <n v="176.96"/>
    <n v="71.11"/>
    <x v="3"/>
  </r>
  <r>
    <x v="2"/>
    <x v="0"/>
    <x v="11"/>
    <x v="1"/>
    <n v="8612"/>
    <n v="30287874.850000001"/>
    <n v="3.62"/>
    <n v="54.88"/>
    <n v="52.25"/>
    <n v="288.87"/>
    <n v="72.55"/>
    <x v="0"/>
  </r>
  <r>
    <x v="2"/>
    <x v="0"/>
    <x v="12"/>
    <x v="1"/>
    <n v="33689"/>
    <n v="37582037.579999998"/>
    <n v="6.06"/>
    <n v="97.44"/>
    <n v="25.59"/>
    <n v="133.77000000000001"/>
    <n v="92.93"/>
    <x v="4"/>
  </r>
  <r>
    <x v="2"/>
    <x v="0"/>
    <x v="13"/>
    <x v="1"/>
    <n v="60093"/>
    <n v="79592293.1639999"/>
    <n v="3.24"/>
    <n v="68.56"/>
    <n v="48.17"/>
    <n v="130.83000000000001"/>
    <n v="75.69"/>
    <x v="1"/>
  </r>
  <r>
    <x v="2"/>
    <x v="0"/>
    <x v="14"/>
    <x v="1"/>
    <n v="50612"/>
    <n v="24547804.329999998"/>
    <n v="4.38"/>
    <n v="76.13"/>
    <n v="16.43"/>
    <n v="58.21"/>
    <n v="60.85"/>
    <x v="0"/>
  </r>
  <r>
    <x v="2"/>
    <x v="1"/>
    <x v="0"/>
    <x v="0"/>
    <n v="33392"/>
    <n v="40200175.950000003"/>
    <n v="-0.14000000000000001"/>
    <n v="69.319999999999993"/>
    <n v="24.76"/>
    <n v="255.14"/>
    <n v="39.33"/>
    <x v="3"/>
  </r>
  <r>
    <x v="2"/>
    <x v="1"/>
    <x v="1"/>
    <x v="0"/>
    <n v="20351"/>
    <n v="10720475.02"/>
    <n v="3.45"/>
    <n v="77.709999999999994"/>
    <n v="3.3"/>
    <n v="285.13"/>
    <n v="73.56"/>
    <x v="3"/>
  </r>
  <r>
    <x v="2"/>
    <x v="1"/>
    <x v="2"/>
    <x v="0"/>
    <n v="9689"/>
    <n v="18237818.16"/>
    <n v="-0.39"/>
    <n v="45.74"/>
    <n v="39.58"/>
    <n v="291.06"/>
    <n v="65.819999999999993"/>
    <x v="3"/>
  </r>
  <r>
    <x v="2"/>
    <x v="1"/>
    <x v="3"/>
    <x v="0"/>
    <n v="19360"/>
    <n v="21067765.940000001"/>
    <n v="0.71"/>
    <n v="72.25"/>
    <n v="24.64"/>
    <n v="119.68"/>
    <n v="71.099999999999994"/>
    <x v="1"/>
  </r>
  <r>
    <x v="2"/>
    <x v="1"/>
    <x v="4"/>
    <x v="0"/>
    <n v="41937"/>
    <n v="10442280.66"/>
    <n v="-0.2"/>
    <n v="67"/>
    <n v="23.33"/>
    <n v="106.63"/>
    <n v="42.6"/>
    <x v="0"/>
  </r>
  <r>
    <x v="2"/>
    <x v="1"/>
    <x v="5"/>
    <x v="1"/>
    <n v="26634"/>
    <n v="17977115.149999999"/>
    <n v="2.97"/>
    <n v="45.93"/>
    <n v="52.08"/>
    <n v="238.86"/>
    <n v="74.08"/>
    <x v="2"/>
  </r>
  <r>
    <x v="2"/>
    <x v="1"/>
    <x v="6"/>
    <x v="1"/>
    <n v="36653"/>
    <n v="38555751.189999998"/>
    <n v="4.34"/>
    <n v="88.65"/>
    <n v="27.12"/>
    <n v="280.3"/>
    <n v="66"/>
    <x v="2"/>
  </r>
  <r>
    <x v="2"/>
    <x v="1"/>
    <x v="7"/>
    <x v="1"/>
    <n v="61958"/>
    <n v="56094433.859999903"/>
    <n v="4.58"/>
    <n v="59.36"/>
    <n v="24.48"/>
    <n v="62.63"/>
    <n v="92.83"/>
    <x v="0"/>
  </r>
  <r>
    <x v="2"/>
    <x v="1"/>
    <x v="8"/>
    <x v="1"/>
    <n v="6501"/>
    <n v="38321092.719999999"/>
    <n v="5.2799999999999896"/>
    <n v="74.459999999999994"/>
    <n v="32.11"/>
    <n v="93.6"/>
    <n v="93.25"/>
    <x v="1"/>
  </r>
  <r>
    <x v="2"/>
    <x v="1"/>
    <x v="9"/>
    <x v="1"/>
    <n v="31267"/>
    <n v="31015491.109999999"/>
    <n v="3.11"/>
    <n v="75.22"/>
    <n v="36.29"/>
    <n v="75.66"/>
    <n v="48.08"/>
    <x v="4"/>
  </r>
  <r>
    <x v="2"/>
    <x v="1"/>
    <x v="10"/>
    <x v="1"/>
    <n v="27446"/>
    <n v="66537700.595999897"/>
    <n v="5.89"/>
    <n v="93.07"/>
    <n v="25.38"/>
    <n v="199.61"/>
    <n v="89.51"/>
    <x v="3"/>
  </r>
  <r>
    <x v="2"/>
    <x v="1"/>
    <x v="11"/>
    <x v="1"/>
    <n v="60479"/>
    <n v="80946999.2519999"/>
    <n v="4.3599999999999897"/>
    <n v="41.23"/>
    <n v="45.34"/>
    <n v="215.46"/>
    <n v="49.82"/>
    <x v="1"/>
  </r>
  <r>
    <x v="2"/>
    <x v="1"/>
    <x v="12"/>
    <x v="1"/>
    <n v="33576"/>
    <n v="15758344.550000001"/>
    <n v="6.65"/>
    <n v="73.37"/>
    <n v="14.85"/>
    <n v="69.650000000000006"/>
    <n v="58.52"/>
    <x v="4"/>
  </r>
  <r>
    <x v="2"/>
    <x v="1"/>
    <x v="13"/>
    <x v="1"/>
    <n v="53719"/>
    <n v="32766472.260000002"/>
    <n v="2.82"/>
    <n v="96.44"/>
    <n v="40.479999999999997"/>
    <n v="160.44999999999999"/>
    <n v="71.77"/>
    <x v="1"/>
  </r>
  <r>
    <x v="2"/>
    <x v="1"/>
    <x v="14"/>
    <x v="1"/>
    <n v="34710"/>
    <n v="17998844.949999999"/>
    <n v="5.2799999999999896"/>
    <n v="61.27"/>
    <n v="11.75"/>
    <n v="237.56"/>
    <n v="76.8"/>
    <x v="2"/>
  </r>
  <r>
    <x v="2"/>
    <x v="2"/>
    <x v="0"/>
    <x v="0"/>
    <n v="39031"/>
    <n v="18608941.010000002"/>
    <n v="3.81"/>
    <n v="33.54"/>
    <n v="15.3"/>
    <n v="107.98"/>
    <n v="58.3"/>
    <x v="0"/>
  </r>
  <r>
    <x v="2"/>
    <x v="2"/>
    <x v="1"/>
    <x v="0"/>
    <n v="34903"/>
    <n v="18518248.489999998"/>
    <n v="2.0499999999999998"/>
    <n v="53.32"/>
    <n v="5.41"/>
    <n v="217.97"/>
    <n v="54.81"/>
    <x v="4"/>
  </r>
  <r>
    <x v="2"/>
    <x v="2"/>
    <x v="2"/>
    <x v="0"/>
    <n v="35996"/>
    <n v="23537405.350000001"/>
    <n v="3.53"/>
    <n v="37.57"/>
    <n v="31.68"/>
    <n v="291.12"/>
    <n v="85.21"/>
    <x v="1"/>
  </r>
  <r>
    <x v="2"/>
    <x v="2"/>
    <x v="3"/>
    <x v="0"/>
    <n v="42820"/>
    <n v="29532856.460000001"/>
    <n v="-0.47"/>
    <n v="68.239999999999995"/>
    <n v="19.11"/>
    <n v="188.16"/>
    <n v="46.5"/>
    <x v="1"/>
  </r>
  <r>
    <x v="2"/>
    <x v="2"/>
    <x v="4"/>
    <x v="0"/>
    <n v="28881"/>
    <n v="21441364.649999999"/>
    <n v="0.65999999999999903"/>
    <n v="41.69"/>
    <n v="44.53"/>
    <n v="269.38"/>
    <n v="59.06"/>
    <x v="2"/>
  </r>
  <r>
    <x v="2"/>
    <x v="2"/>
    <x v="5"/>
    <x v="1"/>
    <n v="55419"/>
    <n v="10737537.960000001"/>
    <n v="2.59"/>
    <n v="68.8"/>
    <n v="35.979999999999997"/>
    <n v="196.85"/>
    <n v="72.959999999999994"/>
    <x v="2"/>
  </r>
  <r>
    <x v="2"/>
    <x v="2"/>
    <x v="6"/>
    <x v="1"/>
    <n v="7872"/>
    <n v="5221237.3320000004"/>
    <n v="4.1099999999999897"/>
    <n v="54.57"/>
    <n v="44.85"/>
    <n v="202.32"/>
    <n v="88.65"/>
    <x v="4"/>
  </r>
  <r>
    <x v="2"/>
    <x v="2"/>
    <x v="7"/>
    <x v="1"/>
    <n v="24758"/>
    <n v="51101597.950000003"/>
    <n v="4.72"/>
    <n v="98.62"/>
    <n v="35.629999999999903"/>
    <n v="259.73"/>
    <n v="81.14"/>
    <x v="2"/>
  </r>
  <r>
    <x v="2"/>
    <x v="2"/>
    <x v="8"/>
    <x v="1"/>
    <n v="50384"/>
    <n v="16798329.649999999"/>
    <n v="4.3599999999999897"/>
    <n v="89.43"/>
    <n v="51.51"/>
    <n v="132.01"/>
    <n v="80.989999999999995"/>
    <x v="0"/>
  </r>
  <r>
    <x v="2"/>
    <x v="2"/>
    <x v="9"/>
    <x v="1"/>
    <n v="8281"/>
    <n v="15827206.449999999"/>
    <n v="2.87"/>
    <n v="97.24"/>
    <n v="49.02"/>
    <n v="297.81"/>
    <n v="77.33"/>
    <x v="3"/>
  </r>
  <r>
    <x v="2"/>
    <x v="2"/>
    <x v="10"/>
    <x v="1"/>
    <n v="54330"/>
    <n v="37269680.390000001"/>
    <n v="6.02"/>
    <n v="48.4"/>
    <n v="15.34"/>
    <n v="212.64"/>
    <n v="88.87"/>
    <x v="2"/>
  </r>
  <r>
    <x v="2"/>
    <x v="2"/>
    <x v="11"/>
    <x v="1"/>
    <n v="32683"/>
    <n v="17951923.895999901"/>
    <n v="4.8599999999999897"/>
    <n v="53.85"/>
    <n v="21.86"/>
    <n v="99.2"/>
    <n v="71.55"/>
    <x v="4"/>
  </r>
  <r>
    <x v="2"/>
    <x v="2"/>
    <x v="12"/>
    <x v="1"/>
    <n v="58052"/>
    <n v="45303231.340000004"/>
    <n v="5.93"/>
    <n v="82.65"/>
    <n v="33.54"/>
    <n v="271.18"/>
    <n v="90.26"/>
    <x v="0"/>
  </r>
  <r>
    <x v="2"/>
    <x v="2"/>
    <x v="13"/>
    <x v="1"/>
    <n v="28022"/>
    <n v="33044277.48"/>
    <n v="3.7"/>
    <n v="91.77"/>
    <n v="8.11"/>
    <n v="274.8"/>
    <n v="87"/>
    <x v="4"/>
  </r>
  <r>
    <x v="2"/>
    <x v="2"/>
    <x v="14"/>
    <x v="1"/>
    <n v="55987"/>
    <n v="5330566.68"/>
    <n v="2.81"/>
    <n v="47.52"/>
    <n v="46.97"/>
    <n v="166.12"/>
    <n v="82.49"/>
    <x v="0"/>
  </r>
  <r>
    <x v="2"/>
    <x v="3"/>
    <x v="0"/>
    <x v="0"/>
    <n v="5309"/>
    <n v="30375439.559999999"/>
    <n v="-0.17"/>
    <n v="38.35"/>
    <n v="33.49"/>
    <n v="297.3"/>
    <n v="66.819999999999993"/>
    <x v="0"/>
  </r>
  <r>
    <x v="2"/>
    <x v="3"/>
    <x v="1"/>
    <x v="0"/>
    <n v="39415"/>
    <n v="15774523.4"/>
    <n v="3.44"/>
    <n v="72.400000000000006"/>
    <n v="38.090000000000003"/>
    <n v="242.8"/>
    <n v="86.48"/>
    <x v="3"/>
  </r>
  <r>
    <x v="2"/>
    <x v="3"/>
    <x v="2"/>
    <x v="0"/>
    <n v="7734"/>
    <n v="10384187.42"/>
    <n v="2.4300000000000002"/>
    <n v="37.340000000000003"/>
    <n v="20.93"/>
    <n v="122.97"/>
    <n v="82.42"/>
    <x v="1"/>
  </r>
  <r>
    <x v="2"/>
    <x v="3"/>
    <x v="3"/>
    <x v="0"/>
    <n v="40180"/>
    <n v="8451472.2209999897"/>
    <n v="3.22"/>
    <n v="52.55"/>
    <n v="44.45"/>
    <n v="97.8"/>
    <n v="53.34"/>
    <x v="4"/>
  </r>
  <r>
    <x v="2"/>
    <x v="3"/>
    <x v="4"/>
    <x v="0"/>
    <n v="39509"/>
    <n v="57709591.710000001"/>
    <n v="0.439999999999999"/>
    <n v="52.43"/>
    <n v="9.26"/>
    <n v="214.47"/>
    <n v="84.68"/>
    <x v="2"/>
  </r>
  <r>
    <x v="2"/>
    <x v="3"/>
    <x v="5"/>
    <x v="1"/>
    <n v="7653"/>
    <n v="25848407.75"/>
    <n v="6.33"/>
    <n v="66.02"/>
    <n v="9.81"/>
    <n v="183.48"/>
    <n v="54.28"/>
    <x v="2"/>
  </r>
  <r>
    <x v="2"/>
    <x v="3"/>
    <x v="6"/>
    <x v="1"/>
    <n v="10112"/>
    <n v="41338291.909999996"/>
    <n v="3.44"/>
    <n v="40.869999999999997"/>
    <n v="37.22"/>
    <n v="93.6"/>
    <n v="72.67"/>
    <x v="0"/>
  </r>
  <r>
    <x v="2"/>
    <x v="3"/>
    <x v="7"/>
    <x v="1"/>
    <n v="63494"/>
    <n v="10304716.720000001"/>
    <n v="3.98"/>
    <n v="74.63"/>
    <n v="53.48"/>
    <n v="296.12"/>
    <n v="93.14"/>
    <x v="3"/>
  </r>
  <r>
    <x v="2"/>
    <x v="3"/>
    <x v="8"/>
    <x v="1"/>
    <n v="40197"/>
    <n v="47733241.810000002"/>
    <n v="4.21"/>
    <n v="63.71"/>
    <n v="37.93"/>
    <n v="70.52"/>
    <n v="74.59"/>
    <x v="4"/>
  </r>
  <r>
    <x v="2"/>
    <x v="3"/>
    <x v="9"/>
    <x v="1"/>
    <n v="28000"/>
    <n v="39976458.880000003"/>
    <n v="6.67"/>
    <n v="56.79"/>
    <n v="11.35"/>
    <n v="240.77"/>
    <n v="51.48"/>
    <x v="0"/>
  </r>
  <r>
    <x v="2"/>
    <x v="3"/>
    <x v="10"/>
    <x v="1"/>
    <n v="30537"/>
    <n v="33782555.279999897"/>
    <n v="6.26"/>
    <n v="48.75"/>
    <n v="15.75"/>
    <n v="162.28"/>
    <n v="64.739999999999995"/>
    <x v="1"/>
  </r>
  <r>
    <x v="2"/>
    <x v="3"/>
    <x v="11"/>
    <x v="1"/>
    <n v="16890"/>
    <n v="10789418.339999899"/>
    <n v="3.36"/>
    <n v="73.7"/>
    <n v="27.02"/>
    <n v="202.39"/>
    <n v="52.08"/>
    <x v="4"/>
  </r>
  <r>
    <x v="2"/>
    <x v="3"/>
    <x v="12"/>
    <x v="1"/>
    <n v="50895"/>
    <n v="58673135.229999997"/>
    <n v="5.33"/>
    <n v="57.73"/>
    <n v="31.67"/>
    <n v="226.07"/>
    <n v="94.36"/>
    <x v="0"/>
  </r>
  <r>
    <x v="2"/>
    <x v="3"/>
    <x v="13"/>
    <x v="1"/>
    <n v="14293"/>
    <n v="84264943.840000004"/>
    <n v="3.84"/>
    <n v="95.98"/>
    <n v="19.39"/>
    <n v="139.82"/>
    <n v="81.790000000000006"/>
    <x v="0"/>
  </r>
  <r>
    <x v="2"/>
    <x v="3"/>
    <x v="14"/>
    <x v="1"/>
    <n v="18172"/>
    <n v="7206944.6519999998"/>
    <n v="5.16"/>
    <n v="68.44"/>
    <n v="22.27"/>
    <n v="184.61"/>
    <n v="68.86"/>
    <x v="4"/>
  </r>
  <r>
    <x v="3"/>
    <x v="0"/>
    <x v="0"/>
    <x v="0"/>
    <n v="23678"/>
    <n v="23302026.23"/>
    <n v="0.57999999999999996"/>
    <n v="45.61"/>
    <n v="43.79"/>
    <n v="156.56"/>
    <n v="72.06"/>
    <x v="4"/>
  </r>
  <r>
    <x v="3"/>
    <x v="0"/>
    <x v="1"/>
    <x v="0"/>
    <n v="24682"/>
    <n v="30388420.881000001"/>
    <n v="3.89"/>
    <n v="65.349999999999994"/>
    <n v="41.22"/>
    <n v="202.74"/>
    <n v="65.05"/>
    <x v="1"/>
  </r>
  <r>
    <x v="3"/>
    <x v="0"/>
    <x v="2"/>
    <x v="0"/>
    <n v="49869"/>
    <n v="25015561.710000001"/>
    <n v="-0.1"/>
    <n v="66.77"/>
    <n v="25.65"/>
    <n v="137.77000000000001"/>
    <n v="75.23"/>
    <x v="3"/>
  </r>
  <r>
    <x v="3"/>
    <x v="0"/>
    <x v="3"/>
    <x v="0"/>
    <n v="5718"/>
    <n v="47611430.590000004"/>
    <n v="3.4"/>
    <n v="60.4"/>
    <n v="15.37"/>
    <n v="128.61000000000001"/>
    <n v="41.67"/>
    <x v="3"/>
  </r>
  <r>
    <x v="3"/>
    <x v="0"/>
    <x v="4"/>
    <x v="0"/>
    <n v="35233"/>
    <n v="10414206.279999999"/>
    <n v="2.0099999999999998"/>
    <n v="84.7"/>
    <n v="12.7"/>
    <n v="92.35"/>
    <n v="51.97"/>
    <x v="3"/>
  </r>
  <r>
    <x v="3"/>
    <x v="0"/>
    <x v="5"/>
    <x v="1"/>
    <n v="41857"/>
    <n v="71129083.790000007"/>
    <n v="4.8599999999999897"/>
    <n v="73.91"/>
    <n v="45.53"/>
    <n v="173.38"/>
    <n v="53.59"/>
    <x v="4"/>
  </r>
  <r>
    <x v="3"/>
    <x v="0"/>
    <x v="6"/>
    <x v="1"/>
    <n v="33814"/>
    <n v="62983632.700000003"/>
    <n v="4.5599999999999996"/>
    <n v="57.41"/>
    <n v="21.53"/>
    <n v="170.67"/>
    <n v="72.61"/>
    <x v="4"/>
  </r>
  <r>
    <x v="3"/>
    <x v="0"/>
    <x v="7"/>
    <x v="1"/>
    <n v="35418"/>
    <n v="14482116.279999999"/>
    <n v="4.01"/>
    <n v="91.45"/>
    <n v="6.56"/>
    <n v="157.75"/>
    <n v="57.04"/>
    <x v="4"/>
  </r>
  <r>
    <x v="3"/>
    <x v="0"/>
    <x v="8"/>
    <x v="1"/>
    <n v="39933"/>
    <n v="18632947.100000001"/>
    <n v="2.56"/>
    <n v="91.48"/>
    <n v="41.08"/>
    <n v="272.72000000000003"/>
    <n v="57.82"/>
    <x v="4"/>
  </r>
  <r>
    <x v="3"/>
    <x v="0"/>
    <x v="9"/>
    <x v="1"/>
    <n v="6800"/>
    <n v="6213699.6119999997"/>
    <n v="6.1"/>
    <n v="52.04"/>
    <n v="54.21"/>
    <n v="81.93"/>
    <n v="52.88"/>
    <x v="2"/>
  </r>
  <r>
    <x v="3"/>
    <x v="0"/>
    <x v="10"/>
    <x v="1"/>
    <n v="6787"/>
    <n v="52571041.670000002"/>
    <n v="4.93"/>
    <n v="103.73"/>
    <n v="29.49"/>
    <n v="274.81"/>
    <n v="47.7"/>
    <x v="1"/>
  </r>
  <r>
    <x v="3"/>
    <x v="0"/>
    <x v="11"/>
    <x v="1"/>
    <n v="34677"/>
    <n v="15661456.58"/>
    <n v="6.11"/>
    <n v="101.07"/>
    <n v="48.06"/>
    <n v="165.76"/>
    <n v="55.31"/>
    <x v="1"/>
  </r>
  <r>
    <x v="3"/>
    <x v="0"/>
    <x v="12"/>
    <x v="1"/>
    <n v="27735"/>
    <n v="60038350.75"/>
    <n v="6.4"/>
    <n v="42.86"/>
    <n v="50.44"/>
    <n v="118.36"/>
    <n v="80.72"/>
    <x v="3"/>
  </r>
  <r>
    <x v="3"/>
    <x v="0"/>
    <x v="13"/>
    <x v="1"/>
    <n v="51810"/>
    <n v="14517045.839999899"/>
    <n v="5.73"/>
    <n v="51.7"/>
    <n v="7.3599999999999897"/>
    <n v="174.15"/>
    <n v="73.56"/>
    <x v="0"/>
  </r>
  <r>
    <x v="3"/>
    <x v="0"/>
    <x v="14"/>
    <x v="1"/>
    <n v="46166"/>
    <n v="19455487.420000002"/>
    <n v="4.54"/>
    <n v="59.94"/>
    <n v="13.25"/>
    <n v="195.16"/>
    <n v="74.459999999999994"/>
    <x v="1"/>
  </r>
  <r>
    <x v="3"/>
    <x v="1"/>
    <x v="0"/>
    <x v="0"/>
    <n v="47075"/>
    <n v="9011313.3599999994"/>
    <n v="3.15"/>
    <n v="87.8"/>
    <n v="23.96"/>
    <n v="79.959999999999994"/>
    <n v="66.239999999999995"/>
    <x v="1"/>
  </r>
  <r>
    <x v="3"/>
    <x v="1"/>
    <x v="1"/>
    <x v="0"/>
    <n v="5465"/>
    <n v="14185149.880000001"/>
    <n v="1.97"/>
    <n v="73.540000000000006"/>
    <n v="45.99"/>
    <n v="292.18"/>
    <n v="37.14"/>
    <x v="3"/>
  </r>
  <r>
    <x v="3"/>
    <x v="1"/>
    <x v="2"/>
    <x v="0"/>
    <n v="22036"/>
    <n v="14156370.640000001"/>
    <n v="2.12"/>
    <n v="60.31"/>
    <n v="-0.89"/>
    <n v="298.7"/>
    <n v="43.46"/>
    <x v="0"/>
  </r>
  <r>
    <x v="3"/>
    <x v="1"/>
    <x v="3"/>
    <x v="0"/>
    <n v="31388"/>
    <n v="15148576.49"/>
    <n v="3.44"/>
    <n v="67"/>
    <n v="45.8"/>
    <n v="92.32"/>
    <n v="39.57"/>
    <x v="4"/>
  </r>
  <r>
    <x v="3"/>
    <x v="1"/>
    <x v="4"/>
    <x v="0"/>
    <n v="33806"/>
    <n v="23699378.708999999"/>
    <n v="-0.23"/>
    <n v="77.31"/>
    <n v="47.51"/>
    <n v="129.69999999999999"/>
    <n v="78.41"/>
    <x v="3"/>
  </r>
  <r>
    <x v="3"/>
    <x v="1"/>
    <x v="5"/>
    <x v="1"/>
    <n v="46798"/>
    <n v="34010964.590000004"/>
    <n v="2.84"/>
    <n v="95.15"/>
    <n v="47.23"/>
    <n v="287.88"/>
    <n v="87.65"/>
    <x v="2"/>
  </r>
  <r>
    <x v="3"/>
    <x v="1"/>
    <x v="6"/>
    <x v="1"/>
    <n v="15007"/>
    <n v="56176071.659999996"/>
    <n v="6.81"/>
    <n v="83.96"/>
    <n v="44.71"/>
    <n v="258.98"/>
    <n v="59.6"/>
    <x v="1"/>
  </r>
  <r>
    <x v="3"/>
    <x v="1"/>
    <x v="7"/>
    <x v="1"/>
    <n v="10585"/>
    <n v="29685804.23"/>
    <n v="3.51"/>
    <n v="93.42"/>
    <n v="38.630000000000003"/>
    <n v="171.64"/>
    <n v="87.93"/>
    <x v="4"/>
  </r>
  <r>
    <x v="3"/>
    <x v="1"/>
    <x v="8"/>
    <x v="1"/>
    <n v="10415"/>
    <n v="16056993.77"/>
    <n v="2.85"/>
    <n v="87.84"/>
    <n v="42.48"/>
    <n v="160.24"/>
    <n v="51.79"/>
    <x v="0"/>
  </r>
  <r>
    <x v="3"/>
    <x v="1"/>
    <x v="9"/>
    <x v="1"/>
    <n v="54159"/>
    <n v="43416974.450000003"/>
    <n v="5.91"/>
    <n v="101.8"/>
    <n v="45.27"/>
    <n v="232.71"/>
    <n v="51.01"/>
    <x v="1"/>
  </r>
  <r>
    <x v="3"/>
    <x v="1"/>
    <x v="10"/>
    <x v="1"/>
    <n v="17217"/>
    <n v="31929959.75"/>
    <n v="3.68"/>
    <n v="41.36"/>
    <n v="32"/>
    <n v="291.72000000000003"/>
    <n v="45.78"/>
    <x v="2"/>
  </r>
  <r>
    <x v="3"/>
    <x v="1"/>
    <x v="11"/>
    <x v="1"/>
    <n v="53719"/>
    <n v="15328592.42"/>
    <n v="3.88"/>
    <n v="79.25"/>
    <n v="36.07"/>
    <n v="286.49"/>
    <n v="48.06"/>
    <x v="3"/>
  </r>
  <r>
    <x v="3"/>
    <x v="1"/>
    <x v="12"/>
    <x v="1"/>
    <n v="58156"/>
    <n v="45419753.700000003"/>
    <n v="4.2799999999999896"/>
    <n v="88.11"/>
    <n v="44.95"/>
    <n v="232.59"/>
    <n v="86.74"/>
    <x v="2"/>
  </r>
  <r>
    <x v="3"/>
    <x v="1"/>
    <x v="13"/>
    <x v="1"/>
    <n v="33117"/>
    <n v="5432435.60399999"/>
    <n v="6.58"/>
    <n v="83.47"/>
    <n v="38.520000000000003"/>
    <n v="282.72000000000003"/>
    <n v="86.09"/>
    <x v="0"/>
  </r>
  <r>
    <x v="3"/>
    <x v="1"/>
    <x v="14"/>
    <x v="1"/>
    <n v="24948"/>
    <n v="7564107.5760000004"/>
    <n v="3.51"/>
    <n v="89.68"/>
    <n v="53.4"/>
    <n v="284.12"/>
    <n v="72.56"/>
    <x v="1"/>
  </r>
  <r>
    <x v="3"/>
    <x v="2"/>
    <x v="0"/>
    <x v="0"/>
    <n v="10671"/>
    <n v="9842035.3650000002"/>
    <n v="0.25"/>
    <n v="50.83"/>
    <n v="26.94"/>
    <n v="249.36"/>
    <n v="77.13"/>
    <x v="0"/>
  </r>
  <r>
    <x v="3"/>
    <x v="2"/>
    <x v="1"/>
    <x v="0"/>
    <n v="27006"/>
    <n v="5136019.5420000004"/>
    <n v="0.36"/>
    <n v="70.180000000000007"/>
    <n v="-0.05"/>
    <n v="179.88"/>
    <n v="63.62"/>
    <x v="2"/>
  </r>
  <r>
    <x v="3"/>
    <x v="2"/>
    <x v="2"/>
    <x v="0"/>
    <n v="35658"/>
    <n v="14607494.42"/>
    <n v="1.18"/>
    <n v="33.54"/>
    <n v="9.9600000000000009"/>
    <n v="232.38"/>
    <n v="66.959999999999994"/>
    <x v="0"/>
  </r>
  <r>
    <x v="3"/>
    <x v="2"/>
    <x v="3"/>
    <x v="0"/>
    <n v="8330"/>
    <n v="26191927.649999999"/>
    <n v="4"/>
    <n v="73.87"/>
    <n v="24.35"/>
    <n v="169.49"/>
    <n v="53.29"/>
    <x v="3"/>
  </r>
  <r>
    <x v="3"/>
    <x v="2"/>
    <x v="4"/>
    <x v="0"/>
    <n v="32243"/>
    <n v="28519800.440000001"/>
    <n v="0.12999999999999901"/>
    <n v="27.27"/>
    <n v="22.56"/>
    <n v="82.24"/>
    <n v="53.9"/>
    <x v="3"/>
  </r>
  <r>
    <x v="3"/>
    <x v="2"/>
    <x v="5"/>
    <x v="1"/>
    <n v="49871"/>
    <n v="8902985.2439999897"/>
    <n v="6.82"/>
    <n v="48.95"/>
    <n v="18.68"/>
    <n v="240.7"/>
    <n v="53.91"/>
    <x v="3"/>
  </r>
  <r>
    <x v="3"/>
    <x v="2"/>
    <x v="6"/>
    <x v="1"/>
    <n v="39287"/>
    <n v="21438284.870000001"/>
    <n v="4.97"/>
    <n v="70.25"/>
    <n v="52.39"/>
    <n v="215.78"/>
    <n v="74.819999999999993"/>
    <x v="3"/>
  </r>
  <r>
    <x v="3"/>
    <x v="2"/>
    <x v="7"/>
    <x v="1"/>
    <n v="43668"/>
    <n v="32615703.949999999"/>
    <n v="3.64"/>
    <n v="41.86"/>
    <n v="25.87"/>
    <n v="164.53"/>
    <n v="62.1"/>
    <x v="2"/>
  </r>
  <r>
    <x v="3"/>
    <x v="2"/>
    <x v="8"/>
    <x v="1"/>
    <n v="64883"/>
    <n v="70601769.767999902"/>
    <n v="4.5999999999999996"/>
    <n v="61.16"/>
    <n v="31.32"/>
    <n v="154.51"/>
    <n v="92.8"/>
    <x v="1"/>
  </r>
  <r>
    <x v="3"/>
    <x v="2"/>
    <x v="9"/>
    <x v="1"/>
    <n v="29698"/>
    <n v="9547956.3839999996"/>
    <n v="3.14"/>
    <n v="93.12"/>
    <n v="34.76"/>
    <n v="246.75"/>
    <n v="65.459999999999994"/>
    <x v="2"/>
  </r>
  <r>
    <x v="3"/>
    <x v="2"/>
    <x v="10"/>
    <x v="1"/>
    <n v="16005"/>
    <n v="41833223.630000003"/>
    <n v="6.71"/>
    <n v="88.73"/>
    <n v="39.93"/>
    <n v="281.7"/>
    <n v="86.82"/>
    <x v="2"/>
  </r>
  <r>
    <x v="3"/>
    <x v="2"/>
    <x v="11"/>
    <x v="1"/>
    <n v="55071"/>
    <n v="52340365.75"/>
    <n v="3.6"/>
    <n v="55.45"/>
    <n v="51.49"/>
    <n v="279.27"/>
    <n v="73.87"/>
    <x v="4"/>
  </r>
  <r>
    <x v="3"/>
    <x v="2"/>
    <x v="12"/>
    <x v="1"/>
    <n v="55853"/>
    <n v="6813706.7280000001"/>
    <n v="4.88"/>
    <n v="62.85"/>
    <n v="33.76"/>
    <n v="63.15"/>
    <n v="69.849999999999994"/>
    <x v="3"/>
  </r>
  <r>
    <x v="3"/>
    <x v="2"/>
    <x v="13"/>
    <x v="1"/>
    <n v="47291"/>
    <n v="19328484.68"/>
    <n v="6.51"/>
    <n v="102.8"/>
    <n v="36.28"/>
    <n v="222.44"/>
    <n v="74.489999999999995"/>
    <x v="0"/>
  </r>
  <r>
    <x v="3"/>
    <x v="2"/>
    <x v="14"/>
    <x v="1"/>
    <n v="30901"/>
    <n v="11882936.57"/>
    <n v="3.47"/>
    <n v="95.55"/>
    <n v="15.87"/>
    <n v="182.47"/>
    <n v="50.98"/>
    <x v="0"/>
  </r>
  <r>
    <x v="3"/>
    <x v="3"/>
    <x v="0"/>
    <x v="0"/>
    <n v="8330"/>
    <n v="4252116.8880000003"/>
    <n v="2.0099999999999998"/>
    <n v="89.2"/>
    <n v="17.57"/>
    <n v="213.49"/>
    <n v="61.069999999999901"/>
    <x v="3"/>
  </r>
  <r>
    <x v="3"/>
    <x v="3"/>
    <x v="1"/>
    <x v="0"/>
    <n v="16902"/>
    <n v="45919818.68"/>
    <n v="-0.25"/>
    <n v="68.67"/>
    <n v="2.5299999999999998"/>
    <n v="66.34"/>
    <n v="47.23"/>
    <x v="0"/>
  </r>
  <r>
    <x v="3"/>
    <x v="3"/>
    <x v="2"/>
    <x v="0"/>
    <n v="10352"/>
    <n v="10351376.890000001"/>
    <n v="3.16"/>
    <n v="68.23"/>
    <n v="24.33"/>
    <n v="137.24"/>
    <n v="49.71"/>
    <x v="0"/>
  </r>
  <r>
    <x v="3"/>
    <x v="3"/>
    <x v="3"/>
    <x v="0"/>
    <n v="20904"/>
    <n v="41945284.640000001"/>
    <n v="-0.06"/>
    <n v="53.51"/>
    <n v="35.450000000000003"/>
    <n v="63.87"/>
    <n v="78.05"/>
    <x v="0"/>
  </r>
  <r>
    <x v="3"/>
    <x v="3"/>
    <x v="4"/>
    <x v="0"/>
    <n v="32799"/>
    <n v="30084811.850000001"/>
    <n v="0.7"/>
    <n v="89.07"/>
    <n v="45.08"/>
    <n v="253.23"/>
    <n v="61.38"/>
    <x v="4"/>
  </r>
  <r>
    <x v="3"/>
    <x v="3"/>
    <x v="5"/>
    <x v="1"/>
    <n v="17884"/>
    <n v="11319455.1"/>
    <n v="4.18"/>
    <n v="99.95"/>
    <n v="7.17"/>
    <n v="265.77999999999997"/>
    <n v="86.45"/>
    <x v="3"/>
  </r>
  <r>
    <x v="3"/>
    <x v="3"/>
    <x v="6"/>
    <x v="1"/>
    <n v="40963"/>
    <n v="10902531.08"/>
    <n v="2.86"/>
    <n v="42.87"/>
    <n v="21.56"/>
    <n v="281.31"/>
    <n v="81.510000000000005"/>
    <x v="2"/>
  </r>
  <r>
    <x v="3"/>
    <x v="3"/>
    <x v="7"/>
    <x v="1"/>
    <n v="15691"/>
    <n v="21823040.170000002"/>
    <n v="3.07"/>
    <n v="42.69"/>
    <n v="42.69"/>
    <n v="135.63"/>
    <n v="72.27"/>
    <x v="3"/>
  </r>
  <r>
    <x v="3"/>
    <x v="3"/>
    <x v="8"/>
    <x v="1"/>
    <n v="23653"/>
    <n v="24085328.149999999"/>
    <n v="5.64"/>
    <n v="87.55"/>
    <n v="41.3"/>
    <n v="170.64"/>
    <n v="46.15"/>
    <x v="4"/>
  </r>
  <r>
    <x v="3"/>
    <x v="3"/>
    <x v="9"/>
    <x v="1"/>
    <n v="56264"/>
    <n v="11515465.800000001"/>
    <n v="3.42"/>
    <n v="82.21"/>
    <n v="39.950000000000003"/>
    <n v="68.7"/>
    <n v="94.84"/>
    <x v="4"/>
  </r>
  <r>
    <x v="3"/>
    <x v="3"/>
    <x v="10"/>
    <x v="1"/>
    <n v="47629"/>
    <n v="40258147.689999998"/>
    <n v="2.59"/>
    <n v="62.4"/>
    <n v="46.2"/>
    <n v="174.55"/>
    <n v="88.86"/>
    <x v="1"/>
  </r>
  <r>
    <x v="3"/>
    <x v="3"/>
    <x v="11"/>
    <x v="1"/>
    <n v="22829"/>
    <n v="33124655.16"/>
    <n v="6.4"/>
    <n v="70.69"/>
    <n v="26.25"/>
    <n v="125.31"/>
    <n v="93.2"/>
    <x v="3"/>
  </r>
  <r>
    <x v="3"/>
    <x v="3"/>
    <x v="12"/>
    <x v="1"/>
    <n v="33785"/>
    <n v="47573854.619999997"/>
    <n v="5.64"/>
    <n v="92.95"/>
    <n v="33.129999999999903"/>
    <n v="109.94"/>
    <n v="93.28"/>
    <x v="1"/>
  </r>
  <r>
    <x v="3"/>
    <x v="3"/>
    <x v="13"/>
    <x v="1"/>
    <n v="28676"/>
    <n v="33319538.640000001"/>
    <n v="5.17"/>
    <n v="80.3"/>
    <n v="30.76"/>
    <n v="213.39"/>
    <n v="76.2"/>
    <x v="0"/>
  </r>
  <r>
    <x v="3"/>
    <x v="3"/>
    <x v="14"/>
    <x v="1"/>
    <n v="62215"/>
    <n v="44729535.659999996"/>
    <n v="3.04"/>
    <n v="93.8"/>
    <n v="38.79"/>
    <n v="253.73"/>
    <n v="45.63"/>
    <x v="1"/>
  </r>
  <r>
    <x v="4"/>
    <x v="0"/>
    <x v="0"/>
    <x v="0"/>
    <n v="40947"/>
    <n v="29431350.050000001"/>
    <n v="2.29"/>
    <n v="31.64"/>
    <n v="20.82"/>
    <n v="272.01"/>
    <n v="80.790000000000006"/>
    <x v="4"/>
  </r>
  <r>
    <x v="4"/>
    <x v="0"/>
    <x v="1"/>
    <x v="0"/>
    <n v="14664"/>
    <n v="15195950.99"/>
    <n v="1.66"/>
    <n v="62.66"/>
    <n v="1.47"/>
    <n v="171.98"/>
    <n v="74.11"/>
    <x v="3"/>
  </r>
  <r>
    <x v="4"/>
    <x v="0"/>
    <x v="2"/>
    <x v="0"/>
    <n v="43817"/>
    <n v="24176526.140000001"/>
    <n v="2.4500000000000002"/>
    <n v="48.62"/>
    <n v="20.28"/>
    <n v="175.27"/>
    <n v="73.89"/>
    <x v="4"/>
  </r>
  <r>
    <x v="4"/>
    <x v="0"/>
    <x v="3"/>
    <x v="0"/>
    <n v="41459"/>
    <n v="13687954.880000001"/>
    <n v="-0.11"/>
    <n v="62.18"/>
    <n v="11.77"/>
    <n v="287.5"/>
    <n v="41.54"/>
    <x v="1"/>
  </r>
  <r>
    <x v="4"/>
    <x v="0"/>
    <x v="4"/>
    <x v="0"/>
    <n v="32918"/>
    <n v="22481075.41"/>
    <n v="1.86"/>
    <n v="81.72"/>
    <n v="33.4"/>
    <n v="108.49"/>
    <n v="65.459999999999994"/>
    <x v="3"/>
  </r>
  <r>
    <x v="4"/>
    <x v="0"/>
    <x v="5"/>
    <x v="1"/>
    <n v="42266"/>
    <n v="25950100.260000002"/>
    <n v="6.02"/>
    <n v="55.39"/>
    <n v="39.53"/>
    <n v="262.25"/>
    <n v="45.63"/>
    <x v="0"/>
  </r>
  <r>
    <x v="4"/>
    <x v="0"/>
    <x v="6"/>
    <x v="1"/>
    <n v="35503"/>
    <n v="31844795.27"/>
    <n v="3.87"/>
    <n v="85.47"/>
    <n v="48.17"/>
    <n v="262.83999999999997"/>
    <n v="68"/>
    <x v="0"/>
  </r>
  <r>
    <x v="4"/>
    <x v="0"/>
    <x v="7"/>
    <x v="1"/>
    <n v="47694"/>
    <n v="18903891.32"/>
    <n v="5.9"/>
    <n v="62.48"/>
    <n v="29.12"/>
    <n v="227.77"/>
    <n v="87.07"/>
    <x v="4"/>
  </r>
  <r>
    <x v="4"/>
    <x v="0"/>
    <x v="8"/>
    <x v="1"/>
    <n v="36500"/>
    <n v="11340925.859999999"/>
    <n v="2.86"/>
    <n v="98.22"/>
    <n v="46.72"/>
    <n v="177.9"/>
    <n v="65.83"/>
    <x v="0"/>
  </r>
  <r>
    <x v="4"/>
    <x v="0"/>
    <x v="9"/>
    <x v="1"/>
    <n v="31535"/>
    <n v="75369161.280000001"/>
    <n v="4.8499999999999996"/>
    <n v="103.92"/>
    <n v="6.42"/>
    <n v="256.02999999999997"/>
    <n v="54.7"/>
    <x v="0"/>
  </r>
  <r>
    <x v="4"/>
    <x v="0"/>
    <x v="10"/>
    <x v="1"/>
    <n v="25428"/>
    <n v="41184238.579999998"/>
    <n v="4.9000000000000004"/>
    <n v="78.09"/>
    <n v="24.18"/>
    <n v="262.01"/>
    <n v="54.8"/>
    <x v="3"/>
  </r>
  <r>
    <x v="4"/>
    <x v="0"/>
    <x v="11"/>
    <x v="1"/>
    <n v="58459"/>
    <n v="6197608.4639999997"/>
    <n v="5.29"/>
    <n v="65.56"/>
    <n v="52.82"/>
    <n v="231.91"/>
    <n v="69.150000000000006"/>
    <x v="2"/>
  </r>
  <r>
    <x v="4"/>
    <x v="0"/>
    <x v="12"/>
    <x v="1"/>
    <n v="39916"/>
    <n v="30964782.02"/>
    <n v="5.5299999999999896"/>
    <n v="47.84"/>
    <n v="15.23"/>
    <n v="260.8"/>
    <n v="82.88"/>
    <x v="2"/>
  </r>
  <r>
    <x v="4"/>
    <x v="0"/>
    <x v="13"/>
    <x v="1"/>
    <n v="56785"/>
    <n v="37101918.729999997"/>
    <n v="4.21"/>
    <n v="67.62"/>
    <n v="43.79"/>
    <n v="240.21"/>
    <n v="75.959999999999994"/>
    <x v="0"/>
  </r>
  <r>
    <x v="4"/>
    <x v="0"/>
    <x v="14"/>
    <x v="1"/>
    <n v="11658"/>
    <n v="14130688.68"/>
    <n v="4.8099999999999996"/>
    <n v="64.150000000000006"/>
    <n v="50.51"/>
    <n v="117.92"/>
    <n v="62.56"/>
    <x v="4"/>
  </r>
  <r>
    <x v="4"/>
    <x v="1"/>
    <x v="0"/>
    <x v="0"/>
    <n v="28445"/>
    <n v="23846107.199999999"/>
    <n v="3.99"/>
    <n v="46.8"/>
    <n v="37.909999999999997"/>
    <n v="175.6"/>
    <n v="66.599999999999994"/>
    <x v="4"/>
  </r>
  <r>
    <x v="4"/>
    <x v="1"/>
    <x v="1"/>
    <x v="0"/>
    <n v="12074"/>
    <n v="10953765.789999999"/>
    <n v="1.67"/>
    <n v="65.23"/>
    <n v="47.14"/>
    <n v="106.03"/>
    <n v="70.52"/>
    <x v="4"/>
  </r>
  <r>
    <x v="4"/>
    <x v="1"/>
    <x v="2"/>
    <x v="0"/>
    <n v="24787"/>
    <n v="11158722.59"/>
    <n v="2.93"/>
    <n v="73.150000000000006"/>
    <n v="29.28"/>
    <n v="138"/>
    <n v="68.94"/>
    <x v="4"/>
  </r>
  <r>
    <x v="4"/>
    <x v="1"/>
    <x v="3"/>
    <x v="0"/>
    <n v="40418"/>
    <n v="32030342.59"/>
    <n v="1.77999999999999"/>
    <n v="61.9"/>
    <n v="24.69"/>
    <n v="160.97999999999999"/>
    <n v="45.26"/>
    <x v="3"/>
  </r>
  <r>
    <x v="4"/>
    <x v="1"/>
    <x v="4"/>
    <x v="0"/>
    <n v="34655"/>
    <n v="5500615.1399999997"/>
    <n v="0"/>
    <n v="36.06"/>
    <n v="47.06"/>
    <n v="75.69"/>
    <n v="57.66"/>
    <x v="2"/>
  </r>
  <r>
    <x v="4"/>
    <x v="1"/>
    <x v="5"/>
    <x v="1"/>
    <n v="18720"/>
    <n v="45175723.359999999"/>
    <n v="6.09"/>
    <n v="77.17"/>
    <n v="13.16"/>
    <n v="95.71"/>
    <n v="54.69"/>
    <x v="1"/>
  </r>
  <r>
    <x v="4"/>
    <x v="1"/>
    <x v="6"/>
    <x v="1"/>
    <n v="7111"/>
    <n v="38171299.740000002"/>
    <n v="4.9000000000000004"/>
    <n v="94.2"/>
    <n v="53.26"/>
    <n v="269.75"/>
    <n v="52.92"/>
    <x v="0"/>
  </r>
  <r>
    <x v="4"/>
    <x v="1"/>
    <x v="7"/>
    <x v="1"/>
    <n v="22044"/>
    <n v="31012290.23"/>
    <n v="5.12"/>
    <n v="79.73"/>
    <n v="37.979999999999997"/>
    <n v="63.5"/>
    <n v="81.510000000000005"/>
    <x v="1"/>
  </r>
  <r>
    <x v="4"/>
    <x v="1"/>
    <x v="8"/>
    <x v="1"/>
    <n v="14004"/>
    <n v="7989841.6199999899"/>
    <n v="3.37"/>
    <n v="86.05"/>
    <n v="18.510000000000002"/>
    <n v="249.43"/>
    <n v="45.62"/>
    <x v="3"/>
  </r>
  <r>
    <x v="4"/>
    <x v="1"/>
    <x v="9"/>
    <x v="1"/>
    <n v="55851"/>
    <n v="19401460.379999999"/>
    <n v="5.04"/>
    <n v="98.87"/>
    <n v="14.29"/>
    <n v="187.41"/>
    <n v="45.43"/>
    <x v="1"/>
  </r>
  <r>
    <x v="4"/>
    <x v="1"/>
    <x v="10"/>
    <x v="1"/>
    <n v="43275"/>
    <n v="7555516.4280000003"/>
    <n v="4.18"/>
    <n v="44.77"/>
    <n v="25.77"/>
    <n v="214.9"/>
    <n v="48.3"/>
    <x v="1"/>
  </r>
  <r>
    <x v="4"/>
    <x v="1"/>
    <x v="11"/>
    <x v="1"/>
    <n v="14970"/>
    <n v="18515548.91"/>
    <n v="6.32"/>
    <n v="52.48"/>
    <n v="25"/>
    <n v="57.27"/>
    <n v="51.12"/>
    <x v="1"/>
  </r>
  <r>
    <x v="4"/>
    <x v="1"/>
    <x v="12"/>
    <x v="1"/>
    <n v="37850"/>
    <n v="11674638.720000001"/>
    <n v="6.51"/>
    <n v="65.650000000000006"/>
    <n v="35.799999999999997"/>
    <n v="210.17"/>
    <n v="70.25"/>
    <x v="2"/>
  </r>
  <r>
    <x v="4"/>
    <x v="1"/>
    <x v="13"/>
    <x v="1"/>
    <n v="12105"/>
    <n v="51838068.950000003"/>
    <n v="5.2799999999999896"/>
    <n v="77.760000000000005"/>
    <n v="52.15"/>
    <n v="51.12"/>
    <n v="86.82"/>
    <x v="1"/>
  </r>
  <r>
    <x v="4"/>
    <x v="1"/>
    <x v="14"/>
    <x v="1"/>
    <n v="43400"/>
    <n v="25193544.600000001"/>
    <n v="2.97"/>
    <n v="86.63"/>
    <n v="52.81"/>
    <n v="178.32"/>
    <n v="45.09"/>
    <x v="1"/>
  </r>
  <r>
    <x v="4"/>
    <x v="2"/>
    <x v="0"/>
    <x v="0"/>
    <n v="45735"/>
    <n v="2987436.3840000001"/>
    <n v="0.26"/>
    <n v="50.76"/>
    <n v="9.67"/>
    <n v="280.41000000000003"/>
    <n v="64.86"/>
    <x v="0"/>
  </r>
  <r>
    <x v="4"/>
    <x v="2"/>
    <x v="1"/>
    <x v="0"/>
    <n v="14799"/>
    <n v="4874859.7379999999"/>
    <n v="3.39"/>
    <n v="49.36"/>
    <n v="15.579999999999901"/>
    <n v="220.38"/>
    <n v="51.94"/>
    <x v="2"/>
  </r>
  <r>
    <x v="4"/>
    <x v="2"/>
    <x v="2"/>
    <x v="0"/>
    <n v="42940"/>
    <n v="4424999.4989999998"/>
    <n v="0.59"/>
    <n v="87.76"/>
    <n v="46.41"/>
    <n v="87.57"/>
    <n v="83.22"/>
    <x v="4"/>
  </r>
  <r>
    <x v="4"/>
    <x v="2"/>
    <x v="3"/>
    <x v="0"/>
    <n v="46321"/>
    <n v="12172734.050000001"/>
    <n v="2.5"/>
    <n v="44.49"/>
    <n v="12.73"/>
    <n v="238.14"/>
    <n v="47.82"/>
    <x v="4"/>
  </r>
  <r>
    <x v="4"/>
    <x v="2"/>
    <x v="4"/>
    <x v="0"/>
    <n v="22101"/>
    <n v="45898246.390000001"/>
    <n v="0.35"/>
    <n v="38.79"/>
    <n v="27.92"/>
    <n v="77.87"/>
    <n v="49.98"/>
    <x v="4"/>
  </r>
  <r>
    <x v="4"/>
    <x v="2"/>
    <x v="5"/>
    <x v="1"/>
    <n v="18578"/>
    <n v="35842354.880000003"/>
    <n v="5.27"/>
    <n v="41.64"/>
    <n v="13.95"/>
    <n v="192.01"/>
    <n v="73.64"/>
    <x v="3"/>
  </r>
  <r>
    <x v="4"/>
    <x v="2"/>
    <x v="6"/>
    <x v="1"/>
    <n v="63804"/>
    <n v="26099538.280000001"/>
    <n v="2.5299999999999998"/>
    <n v="49.54"/>
    <n v="36.479999999999997"/>
    <n v="168.21"/>
    <n v="88.53"/>
    <x v="3"/>
  </r>
  <r>
    <x v="4"/>
    <x v="2"/>
    <x v="7"/>
    <x v="1"/>
    <n v="60353"/>
    <n v="10771600.5239999"/>
    <n v="3.43"/>
    <n v="67.709999999999994"/>
    <n v="35.68"/>
    <n v="79.34"/>
    <n v="58.28"/>
    <x v="3"/>
  </r>
  <r>
    <x v="4"/>
    <x v="2"/>
    <x v="8"/>
    <x v="1"/>
    <n v="56014"/>
    <n v="38203293.829999998"/>
    <n v="5.04"/>
    <n v="92.55"/>
    <n v="22.12"/>
    <n v="50.37"/>
    <n v="45.65"/>
    <x v="0"/>
  </r>
  <r>
    <x v="4"/>
    <x v="2"/>
    <x v="9"/>
    <x v="1"/>
    <n v="30009"/>
    <n v="27935761.68"/>
    <n v="5.49"/>
    <n v="48.11"/>
    <n v="22.61"/>
    <n v="157"/>
    <n v="94.16"/>
    <x v="4"/>
  </r>
  <r>
    <x v="4"/>
    <x v="2"/>
    <x v="10"/>
    <x v="1"/>
    <n v="11176"/>
    <n v="41387013.969999999"/>
    <n v="6.52"/>
    <n v="59.53"/>
    <n v="7.3599999999999897"/>
    <n v="246.52"/>
    <n v="46.97"/>
    <x v="3"/>
  </r>
  <r>
    <x v="4"/>
    <x v="2"/>
    <x v="11"/>
    <x v="1"/>
    <n v="35816"/>
    <n v="11652906.140000001"/>
    <n v="6.83"/>
    <n v="52.51"/>
    <n v="23.96"/>
    <n v="85.44"/>
    <n v="54.57"/>
    <x v="3"/>
  </r>
  <r>
    <x v="4"/>
    <x v="2"/>
    <x v="12"/>
    <x v="1"/>
    <n v="51399"/>
    <n v="42332669.411999904"/>
    <n v="4.71"/>
    <n v="77.37"/>
    <n v="33.159999999999997"/>
    <n v="212.73"/>
    <n v="87.94"/>
    <x v="1"/>
  </r>
  <r>
    <x v="4"/>
    <x v="2"/>
    <x v="13"/>
    <x v="1"/>
    <n v="25724"/>
    <n v="4967036.6160000004"/>
    <n v="2.8"/>
    <n v="102.38"/>
    <n v="45.67"/>
    <n v="52.28"/>
    <n v="75.87"/>
    <x v="0"/>
  </r>
  <r>
    <x v="4"/>
    <x v="2"/>
    <x v="14"/>
    <x v="1"/>
    <n v="19229"/>
    <n v="37535867.520000003"/>
    <n v="6.95"/>
    <n v="71.89"/>
    <n v="44.75"/>
    <n v="122.87"/>
    <n v="91.72"/>
    <x v="1"/>
  </r>
  <r>
    <x v="4"/>
    <x v="3"/>
    <x v="0"/>
    <x v="0"/>
    <n v="40560"/>
    <n v="10240842.15"/>
    <n v="1.06"/>
    <n v="40.090000000000003"/>
    <n v="30.86"/>
    <n v="154.81"/>
    <n v="68.239999999999995"/>
    <x v="3"/>
  </r>
  <r>
    <x v="4"/>
    <x v="3"/>
    <x v="1"/>
    <x v="0"/>
    <n v="35697"/>
    <n v="19462564.98"/>
    <n v="2.4900000000000002"/>
    <n v="36.549999999999997"/>
    <n v="36.44"/>
    <n v="236.39"/>
    <n v="47.11"/>
    <x v="3"/>
  </r>
  <r>
    <x v="4"/>
    <x v="3"/>
    <x v="2"/>
    <x v="0"/>
    <n v="47421"/>
    <n v="4828393.0619999999"/>
    <n v="0.34"/>
    <n v="69.319999999999993"/>
    <n v="14.16"/>
    <n v="174.21"/>
    <n v="73.78"/>
    <x v="1"/>
  </r>
  <r>
    <x v="4"/>
    <x v="3"/>
    <x v="3"/>
    <x v="0"/>
    <n v="36328"/>
    <n v="33957658.93"/>
    <n v="1.68"/>
    <n v="25.34"/>
    <n v="10.88"/>
    <n v="248.93"/>
    <n v="80.819999999999993"/>
    <x v="2"/>
  </r>
  <r>
    <x v="4"/>
    <x v="3"/>
    <x v="4"/>
    <x v="0"/>
    <n v="7177"/>
    <n v="12756979.869999999"/>
    <n v="3.84"/>
    <n v="83.21"/>
    <n v="46.58"/>
    <n v="244.75"/>
    <n v="58.59"/>
    <x v="1"/>
  </r>
  <r>
    <x v="4"/>
    <x v="3"/>
    <x v="5"/>
    <x v="1"/>
    <n v="26543"/>
    <n v="22616882.710000001"/>
    <n v="6.92"/>
    <n v="47.63"/>
    <n v="35.93"/>
    <n v="142.99"/>
    <n v="65.489999999999995"/>
    <x v="4"/>
  </r>
  <r>
    <x v="4"/>
    <x v="3"/>
    <x v="6"/>
    <x v="1"/>
    <n v="56191"/>
    <n v="12240588.060000001"/>
    <n v="6.71"/>
    <n v="72.16"/>
    <n v="7.12"/>
    <n v="152.26"/>
    <n v="87.72"/>
    <x v="0"/>
  </r>
  <r>
    <x v="4"/>
    <x v="3"/>
    <x v="7"/>
    <x v="1"/>
    <n v="31159"/>
    <n v="41780958.789999999"/>
    <n v="4.5599999999999996"/>
    <n v="79.39"/>
    <n v="20.12"/>
    <n v="294.91000000000003"/>
    <n v="53.57"/>
    <x v="2"/>
  </r>
  <r>
    <x v="4"/>
    <x v="3"/>
    <x v="8"/>
    <x v="1"/>
    <n v="61064"/>
    <n v="65387195.350000001"/>
    <n v="5.49"/>
    <n v="85.64"/>
    <n v="26.68"/>
    <n v="170.74"/>
    <n v="59.27"/>
    <x v="0"/>
  </r>
  <r>
    <x v="4"/>
    <x v="3"/>
    <x v="9"/>
    <x v="1"/>
    <n v="34138"/>
    <n v="54539172.82"/>
    <n v="5.92"/>
    <n v="98.31"/>
    <n v="21.34"/>
    <n v="195.17"/>
    <n v="79.73"/>
    <x v="0"/>
  </r>
  <r>
    <x v="4"/>
    <x v="3"/>
    <x v="10"/>
    <x v="1"/>
    <n v="36216"/>
    <n v="29959374.23"/>
    <n v="3.82"/>
    <n v="70.59"/>
    <n v="46.92"/>
    <n v="177.43"/>
    <n v="63.86"/>
    <x v="1"/>
  </r>
  <r>
    <x v="4"/>
    <x v="3"/>
    <x v="11"/>
    <x v="1"/>
    <n v="56470"/>
    <n v="29368072.66"/>
    <n v="5.15"/>
    <n v="71.88"/>
    <n v="21.15"/>
    <n v="192.3"/>
    <n v="46.87"/>
    <x v="3"/>
  </r>
  <r>
    <x v="4"/>
    <x v="3"/>
    <x v="12"/>
    <x v="1"/>
    <n v="50544"/>
    <n v="43782286.43"/>
    <n v="4.6399999999999997"/>
    <n v="96.7"/>
    <n v="13.78"/>
    <n v="184.26"/>
    <n v="51.56"/>
    <x v="3"/>
  </r>
  <r>
    <x v="4"/>
    <x v="3"/>
    <x v="13"/>
    <x v="1"/>
    <n v="8752"/>
    <n v="38989375.219999999"/>
    <n v="2.66"/>
    <n v="83.21"/>
    <n v="28.99"/>
    <n v="286.82"/>
    <n v="62.63"/>
    <x v="4"/>
  </r>
  <r>
    <x v="4"/>
    <x v="3"/>
    <x v="14"/>
    <x v="1"/>
    <n v="52161"/>
    <n v="28251610.309999999"/>
    <n v="4.47"/>
    <n v="63.99"/>
    <n v="48.56"/>
    <n v="255.02"/>
    <n v="48.38"/>
    <x v="2"/>
  </r>
  <r>
    <x v="5"/>
    <x v="0"/>
    <x v="0"/>
    <x v="0"/>
    <n v="37131"/>
    <n v="45587127.689999998"/>
    <n v="0.59"/>
    <n v="83.06"/>
    <n v="0.33999999999999903"/>
    <n v="274.2"/>
    <n v="42.93"/>
    <x v="3"/>
  </r>
  <r>
    <x v="5"/>
    <x v="0"/>
    <x v="1"/>
    <x v="0"/>
    <n v="22947"/>
    <n v="10581556.07"/>
    <n v="2.0299999999999998"/>
    <n v="51.05"/>
    <n v="13.99"/>
    <n v="62.01"/>
    <n v="43.39"/>
    <x v="4"/>
  </r>
  <r>
    <x v="5"/>
    <x v="0"/>
    <x v="2"/>
    <x v="0"/>
    <n v="32783"/>
    <n v="24954402.68"/>
    <n v="-0.12"/>
    <n v="68.38"/>
    <n v="18.52"/>
    <n v="165.62"/>
    <n v="84.08"/>
    <x v="0"/>
  </r>
  <r>
    <x v="5"/>
    <x v="0"/>
    <x v="3"/>
    <x v="0"/>
    <n v="11825"/>
    <n v="26416166.620000001"/>
    <n v="3.72"/>
    <n v="48.75"/>
    <n v="13.42"/>
    <n v="267.68"/>
    <n v="82.48"/>
    <x v="0"/>
  </r>
  <r>
    <x v="5"/>
    <x v="0"/>
    <x v="4"/>
    <x v="0"/>
    <n v="11094"/>
    <n v="32422221.329999998"/>
    <n v="2.75"/>
    <n v="69.33"/>
    <n v="8.1999999999999993"/>
    <n v="259.14999999999998"/>
    <n v="73.14"/>
    <x v="2"/>
  </r>
  <r>
    <x v="5"/>
    <x v="0"/>
    <x v="5"/>
    <x v="1"/>
    <n v="54883"/>
    <n v="29105714.760000002"/>
    <n v="6.45"/>
    <n v="41.13"/>
    <n v="51.34"/>
    <n v="117.64"/>
    <n v="58.15"/>
    <x v="3"/>
  </r>
  <r>
    <x v="5"/>
    <x v="0"/>
    <x v="6"/>
    <x v="1"/>
    <n v="31220"/>
    <n v="36722606.380000003"/>
    <n v="6.53"/>
    <n v="40.51"/>
    <n v="32.239999999999903"/>
    <n v="130.35"/>
    <n v="80.87"/>
    <x v="1"/>
  </r>
  <r>
    <x v="5"/>
    <x v="0"/>
    <x v="7"/>
    <x v="1"/>
    <n v="11255"/>
    <n v="40448789.530000001"/>
    <n v="6.91"/>
    <n v="69.89"/>
    <n v="14.95"/>
    <n v="211"/>
    <n v="67.67"/>
    <x v="3"/>
  </r>
  <r>
    <x v="5"/>
    <x v="0"/>
    <x v="8"/>
    <x v="1"/>
    <n v="62968"/>
    <n v="36037742.340000004"/>
    <n v="3.27"/>
    <n v="91.81"/>
    <n v="35.090000000000003"/>
    <n v="236.61"/>
    <n v="93.38"/>
    <x v="2"/>
  </r>
  <r>
    <x v="5"/>
    <x v="0"/>
    <x v="9"/>
    <x v="1"/>
    <n v="57073"/>
    <n v="27851665.91"/>
    <n v="2.61"/>
    <n v="66.33"/>
    <n v="8.11"/>
    <n v="196.33"/>
    <n v="89.62"/>
    <x v="1"/>
  </r>
  <r>
    <x v="5"/>
    <x v="0"/>
    <x v="10"/>
    <x v="1"/>
    <n v="43911"/>
    <n v="45501962.543999903"/>
    <n v="4.21"/>
    <n v="45.54"/>
    <n v="47.18"/>
    <n v="293.87"/>
    <n v="46.55"/>
    <x v="4"/>
  </r>
  <r>
    <x v="5"/>
    <x v="0"/>
    <x v="11"/>
    <x v="1"/>
    <n v="6628"/>
    <n v="36995468.590000004"/>
    <n v="4.8099999999999996"/>
    <n v="93.86"/>
    <n v="26.43"/>
    <n v="157.51"/>
    <n v="45.53"/>
    <x v="4"/>
  </r>
  <r>
    <x v="5"/>
    <x v="0"/>
    <x v="12"/>
    <x v="1"/>
    <n v="54366"/>
    <n v="58337180.299999997"/>
    <n v="2.87"/>
    <n v="90.7"/>
    <n v="13.54"/>
    <n v="83.75"/>
    <n v="56.88"/>
    <x v="0"/>
  </r>
  <r>
    <x v="5"/>
    <x v="0"/>
    <x v="13"/>
    <x v="1"/>
    <n v="43162"/>
    <n v="43400860.595999897"/>
    <n v="3.11"/>
    <n v="73.38"/>
    <n v="46.43"/>
    <n v="195.74"/>
    <n v="49.58"/>
    <x v="2"/>
  </r>
  <r>
    <x v="5"/>
    <x v="0"/>
    <x v="14"/>
    <x v="1"/>
    <n v="24624"/>
    <n v="36547057.850000001"/>
    <n v="6.92"/>
    <n v="54.55"/>
    <n v="50.77"/>
    <n v="120.07"/>
    <n v="50.72"/>
    <x v="3"/>
  </r>
  <r>
    <x v="5"/>
    <x v="1"/>
    <x v="0"/>
    <x v="0"/>
    <n v="26237"/>
    <n v="30930455.537999999"/>
    <n v="2.72"/>
    <n v="30.37"/>
    <n v="43.72"/>
    <n v="205.74"/>
    <n v="48.09"/>
    <x v="2"/>
  </r>
  <r>
    <x v="5"/>
    <x v="1"/>
    <x v="1"/>
    <x v="0"/>
    <n v="22269"/>
    <n v="16275671.49"/>
    <n v="2.2400000000000002"/>
    <n v="67.36"/>
    <n v="2.27"/>
    <n v="216.59"/>
    <n v="73.239999999999995"/>
    <x v="3"/>
  </r>
  <r>
    <x v="5"/>
    <x v="1"/>
    <x v="2"/>
    <x v="0"/>
    <n v="27314"/>
    <n v="25415808.77"/>
    <n v="0.48"/>
    <n v="88.91"/>
    <n v="13.08"/>
    <n v="84.12"/>
    <n v="40.119999999999997"/>
    <x v="4"/>
  </r>
  <r>
    <x v="5"/>
    <x v="1"/>
    <x v="3"/>
    <x v="0"/>
    <n v="18938"/>
    <n v="16203612.710000001"/>
    <n v="3.04"/>
    <n v="84.26"/>
    <n v="14.97"/>
    <n v="201.33"/>
    <n v="75.69"/>
    <x v="4"/>
  </r>
  <r>
    <x v="5"/>
    <x v="1"/>
    <x v="4"/>
    <x v="0"/>
    <n v="14478"/>
    <n v="46356728.390000001"/>
    <n v="1.47"/>
    <n v="44.98"/>
    <n v="31.83"/>
    <n v="190.4"/>
    <n v="78.16"/>
    <x v="1"/>
  </r>
  <r>
    <x v="5"/>
    <x v="1"/>
    <x v="5"/>
    <x v="1"/>
    <n v="64381"/>
    <n v="8891741.3399999999"/>
    <n v="3.46"/>
    <n v="81.540000000000006"/>
    <n v="25.48"/>
    <n v="147.47999999999999"/>
    <n v="52.94"/>
    <x v="3"/>
  </r>
  <r>
    <x v="5"/>
    <x v="1"/>
    <x v="6"/>
    <x v="1"/>
    <n v="33515"/>
    <n v="35787763.82"/>
    <n v="4.3"/>
    <n v="82.09"/>
    <n v="44.83"/>
    <n v="256.14"/>
    <n v="51.86"/>
    <x v="1"/>
  </r>
  <r>
    <x v="5"/>
    <x v="1"/>
    <x v="7"/>
    <x v="1"/>
    <n v="14587"/>
    <n v="28041204.800000001"/>
    <n v="2.85"/>
    <n v="53.66"/>
    <n v="51.8"/>
    <n v="126.75"/>
    <n v="94.43"/>
    <x v="0"/>
  </r>
  <r>
    <x v="5"/>
    <x v="1"/>
    <x v="8"/>
    <x v="1"/>
    <n v="47712"/>
    <n v="18117011.059999999"/>
    <n v="3.62"/>
    <n v="64.38"/>
    <n v="33.69"/>
    <n v="172.94"/>
    <n v="72.78"/>
    <x v="3"/>
  </r>
  <r>
    <x v="5"/>
    <x v="1"/>
    <x v="9"/>
    <x v="1"/>
    <n v="24276"/>
    <n v="82025137.200000003"/>
    <n v="6.27"/>
    <n v="51.96"/>
    <n v="37.97"/>
    <n v="177.35"/>
    <n v="73.86"/>
    <x v="1"/>
  </r>
  <r>
    <x v="5"/>
    <x v="1"/>
    <x v="10"/>
    <x v="1"/>
    <n v="28349"/>
    <n v="29473665.23"/>
    <n v="6.51"/>
    <n v="94.18"/>
    <n v="34.270000000000003"/>
    <n v="103.77"/>
    <n v="65.41"/>
    <x v="0"/>
  </r>
  <r>
    <x v="5"/>
    <x v="1"/>
    <x v="11"/>
    <x v="1"/>
    <n v="33169"/>
    <n v="35954900.030000001"/>
    <n v="5.42"/>
    <n v="53.54"/>
    <n v="26.02"/>
    <n v="294.86"/>
    <n v="54.66"/>
    <x v="4"/>
  </r>
  <r>
    <x v="5"/>
    <x v="1"/>
    <x v="12"/>
    <x v="1"/>
    <n v="7463"/>
    <n v="54322194.789999999"/>
    <n v="3.42"/>
    <n v="84.33"/>
    <n v="29.05"/>
    <n v="82.85"/>
    <n v="88.18"/>
    <x v="3"/>
  </r>
  <r>
    <x v="5"/>
    <x v="1"/>
    <x v="13"/>
    <x v="1"/>
    <n v="16723"/>
    <n v="10462398.76"/>
    <n v="5.79"/>
    <n v="80.56"/>
    <n v="28.87"/>
    <n v="162.51"/>
    <n v="72.81"/>
    <x v="2"/>
  </r>
  <r>
    <x v="5"/>
    <x v="1"/>
    <x v="14"/>
    <x v="1"/>
    <n v="44327"/>
    <n v="51331262.543999903"/>
    <n v="4.95"/>
    <n v="78.31"/>
    <n v="41.66"/>
    <n v="198.84"/>
    <n v="46.44"/>
    <x v="2"/>
  </r>
  <r>
    <x v="5"/>
    <x v="2"/>
    <x v="0"/>
    <x v="0"/>
    <n v="32671"/>
    <n v="47591496.990000002"/>
    <n v="2.77"/>
    <n v="27.94"/>
    <n v="32.880000000000003"/>
    <n v="71.209999999999994"/>
    <n v="82.95"/>
    <x v="0"/>
  </r>
  <r>
    <x v="5"/>
    <x v="2"/>
    <x v="1"/>
    <x v="0"/>
    <n v="40214"/>
    <n v="41136987.82"/>
    <n v="0.13999999999999899"/>
    <n v="87.83"/>
    <n v="40.29"/>
    <n v="259.95"/>
    <n v="42.51"/>
    <x v="0"/>
  </r>
  <r>
    <x v="5"/>
    <x v="2"/>
    <x v="2"/>
    <x v="0"/>
    <n v="5564"/>
    <n v="59801417.460000001"/>
    <n v="3.5"/>
    <n v="48.6"/>
    <n v="29.86"/>
    <n v="213.04"/>
    <n v="46.39"/>
    <x v="4"/>
  </r>
  <r>
    <x v="5"/>
    <x v="2"/>
    <x v="3"/>
    <x v="0"/>
    <n v="19903"/>
    <n v="17437926.68"/>
    <n v="3.41"/>
    <n v="61.77"/>
    <n v="2.81"/>
    <n v="289.86"/>
    <n v="52.2"/>
    <x v="2"/>
  </r>
  <r>
    <x v="5"/>
    <x v="2"/>
    <x v="4"/>
    <x v="0"/>
    <n v="21386"/>
    <n v="36904339.770000003"/>
    <n v="2.99"/>
    <n v="72.989999999999995"/>
    <n v="35.39"/>
    <n v="296.75"/>
    <n v="75.59"/>
    <x v="1"/>
  </r>
  <r>
    <x v="5"/>
    <x v="2"/>
    <x v="5"/>
    <x v="1"/>
    <n v="27969"/>
    <n v="70164647.829999998"/>
    <n v="2.62"/>
    <n v="46.76"/>
    <n v="43.61"/>
    <n v="103.25"/>
    <n v="63.21"/>
    <x v="2"/>
  </r>
  <r>
    <x v="5"/>
    <x v="2"/>
    <x v="6"/>
    <x v="1"/>
    <n v="37433"/>
    <n v="18338586.460000001"/>
    <n v="4.04"/>
    <n v="87.64"/>
    <n v="53.76"/>
    <n v="101.77"/>
    <n v="50.02"/>
    <x v="2"/>
  </r>
  <r>
    <x v="5"/>
    <x v="2"/>
    <x v="7"/>
    <x v="1"/>
    <n v="39286"/>
    <n v="60220617.189999998"/>
    <n v="3.28"/>
    <n v="52.62"/>
    <n v="54.48"/>
    <n v="284.67"/>
    <n v="72.09"/>
    <x v="4"/>
  </r>
  <r>
    <x v="5"/>
    <x v="2"/>
    <x v="8"/>
    <x v="1"/>
    <n v="53528"/>
    <n v="21387152.239999998"/>
    <n v="6.42"/>
    <n v="103.82"/>
    <n v="51.01"/>
    <n v="130.55000000000001"/>
    <n v="85.26"/>
    <x v="2"/>
  </r>
  <r>
    <x v="5"/>
    <x v="2"/>
    <x v="9"/>
    <x v="1"/>
    <n v="35291"/>
    <n v="49226395.399999999"/>
    <n v="6.75"/>
    <n v="62.89"/>
    <n v="24.49"/>
    <n v="220.65"/>
    <n v="89.72"/>
    <x v="3"/>
  </r>
  <r>
    <x v="5"/>
    <x v="2"/>
    <x v="10"/>
    <x v="1"/>
    <n v="59709"/>
    <n v="24247149.039999999"/>
    <n v="6.3"/>
    <n v="103.78"/>
    <n v="12.99"/>
    <n v="284.37"/>
    <n v="67.069999999999993"/>
    <x v="2"/>
  </r>
  <r>
    <x v="5"/>
    <x v="2"/>
    <x v="11"/>
    <x v="1"/>
    <n v="43568"/>
    <n v="7815666.2519999901"/>
    <n v="5.04"/>
    <n v="74.459999999999994"/>
    <n v="45.39"/>
    <n v="255.35"/>
    <n v="72.28"/>
    <x v="3"/>
  </r>
  <r>
    <x v="5"/>
    <x v="2"/>
    <x v="12"/>
    <x v="1"/>
    <n v="14266"/>
    <n v="34815441.960000001"/>
    <n v="4.33"/>
    <n v="40.78"/>
    <n v="17.489999999999998"/>
    <n v="190.78"/>
    <n v="88.08"/>
    <x v="1"/>
  </r>
  <r>
    <x v="5"/>
    <x v="2"/>
    <x v="13"/>
    <x v="1"/>
    <n v="15763"/>
    <n v="7376208.852"/>
    <n v="5.89"/>
    <n v="74.459999999999994"/>
    <n v="50.36"/>
    <n v="173.23"/>
    <n v="52.39"/>
    <x v="3"/>
  </r>
  <r>
    <x v="5"/>
    <x v="2"/>
    <x v="14"/>
    <x v="1"/>
    <n v="37683"/>
    <n v="25975311.579999998"/>
    <n v="6.15"/>
    <n v="87.83"/>
    <n v="29.56"/>
    <n v="270.57"/>
    <n v="63.33"/>
    <x v="4"/>
  </r>
  <r>
    <x v="5"/>
    <x v="3"/>
    <x v="0"/>
    <x v="0"/>
    <n v="9805"/>
    <n v="4494602.4929999998"/>
    <n v="0.27"/>
    <n v="59.49"/>
    <n v="16.98"/>
    <n v="203.22"/>
    <n v="57.32"/>
    <x v="2"/>
  </r>
  <r>
    <x v="5"/>
    <x v="3"/>
    <x v="1"/>
    <x v="0"/>
    <n v="39017"/>
    <n v="15031174.35"/>
    <n v="1.95"/>
    <n v="50.4"/>
    <n v="25.44"/>
    <n v="268.60000000000002"/>
    <n v="38.07"/>
    <x v="0"/>
  </r>
  <r>
    <x v="5"/>
    <x v="3"/>
    <x v="2"/>
    <x v="0"/>
    <n v="7534"/>
    <n v="29771391.219999999"/>
    <n v="3.55"/>
    <n v="47.5"/>
    <n v="12.56"/>
    <n v="51.73"/>
    <n v="74.44"/>
    <x v="4"/>
  </r>
  <r>
    <x v="5"/>
    <x v="3"/>
    <x v="3"/>
    <x v="0"/>
    <n v="42266"/>
    <n v="23557754.829999998"/>
    <n v="0.34"/>
    <n v="86.28"/>
    <n v="26.49"/>
    <n v="294.81"/>
    <n v="51.79"/>
    <x v="1"/>
  </r>
  <r>
    <x v="5"/>
    <x v="3"/>
    <x v="4"/>
    <x v="0"/>
    <n v="28852"/>
    <n v="14365866.470000001"/>
    <n v="0.22999999999999901"/>
    <n v="46.1"/>
    <n v="3.47"/>
    <n v="194.32"/>
    <n v="86.51"/>
    <x v="2"/>
  </r>
  <r>
    <x v="5"/>
    <x v="3"/>
    <x v="5"/>
    <x v="1"/>
    <n v="25724"/>
    <n v="57565236.579999998"/>
    <n v="5.68"/>
    <n v="69.979999999999905"/>
    <n v="34.17"/>
    <n v="231.5"/>
    <n v="84.08"/>
    <x v="1"/>
  </r>
  <r>
    <x v="5"/>
    <x v="3"/>
    <x v="6"/>
    <x v="1"/>
    <n v="10554"/>
    <n v="21897425.739999998"/>
    <n v="5.35"/>
    <n v="41.87"/>
    <n v="19.649999999999999"/>
    <n v="187.87"/>
    <n v="87.11"/>
    <x v="0"/>
  </r>
  <r>
    <x v="5"/>
    <x v="3"/>
    <x v="7"/>
    <x v="1"/>
    <n v="63966"/>
    <n v="35148376"/>
    <n v="3.86"/>
    <n v="68.180000000000007"/>
    <n v="37.299999999999997"/>
    <n v="171.35"/>
    <n v="81.11"/>
    <x v="3"/>
  </r>
  <r>
    <x v="5"/>
    <x v="3"/>
    <x v="8"/>
    <x v="1"/>
    <n v="50336"/>
    <n v="24239867.16"/>
    <n v="4.0599999999999996"/>
    <n v="44.48"/>
    <n v="16.75"/>
    <n v="205.63"/>
    <n v="73.459999999999994"/>
    <x v="2"/>
  </r>
  <r>
    <x v="5"/>
    <x v="3"/>
    <x v="9"/>
    <x v="1"/>
    <n v="35834"/>
    <n v="8672653.0079999994"/>
    <n v="3.47"/>
    <n v="79.11"/>
    <n v="20.48"/>
    <n v="97.86"/>
    <n v="49"/>
    <x v="2"/>
  </r>
  <r>
    <x v="5"/>
    <x v="3"/>
    <x v="10"/>
    <x v="1"/>
    <n v="28368"/>
    <n v="17639255.890000001"/>
    <n v="5.79"/>
    <n v="47.78"/>
    <n v="35.700000000000003"/>
    <n v="99.55"/>
    <n v="92.85"/>
    <x v="4"/>
  </r>
  <r>
    <x v="5"/>
    <x v="3"/>
    <x v="11"/>
    <x v="1"/>
    <n v="31313"/>
    <n v="33616387.43"/>
    <n v="6.7"/>
    <n v="59.12"/>
    <n v="51.35"/>
    <n v="229.94"/>
    <n v="66.099999999999994"/>
    <x v="3"/>
  </r>
  <r>
    <x v="5"/>
    <x v="3"/>
    <x v="12"/>
    <x v="1"/>
    <n v="10175"/>
    <n v="31584423.949999999"/>
    <n v="6.39"/>
    <n v="86.4"/>
    <n v="6.87"/>
    <n v="170.92"/>
    <n v="87.54"/>
    <x v="0"/>
  </r>
  <r>
    <x v="5"/>
    <x v="3"/>
    <x v="13"/>
    <x v="1"/>
    <n v="27459"/>
    <n v="48297091.175999902"/>
    <n v="2.65"/>
    <n v="73.66"/>
    <n v="17.95"/>
    <n v="186.37"/>
    <n v="92.94"/>
    <x v="3"/>
  </r>
  <r>
    <x v="5"/>
    <x v="3"/>
    <x v="14"/>
    <x v="1"/>
    <n v="23576"/>
    <n v="7378715.04"/>
    <n v="4.9400000000000004"/>
    <n v="92.65"/>
    <n v="27.65"/>
    <n v="261.8"/>
    <n v="75.180000000000007"/>
    <x v="0"/>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r>
    <x v="6"/>
    <x v="4"/>
    <x v="15"/>
    <x v="2"/>
    <m/>
    <m/>
    <m/>
    <m/>
    <m/>
    <m/>
    <m/>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n v="2019"/>
    <x v="0"/>
    <s v="Galaxy S10"/>
    <x v="0"/>
    <n v="26396"/>
    <n v="4212951.0480000004"/>
    <n v="1.04"/>
    <n v="57.36"/>
    <n v="39.549999999999997"/>
    <n v="293.10000000000002"/>
    <n v="55.87"/>
    <s v="Asia-Pacific"/>
  </r>
  <r>
    <n v="2019"/>
    <x v="0"/>
    <s v="Galaxy Note10"/>
    <x v="0"/>
    <n v="25671"/>
    <n v="7240265.60399999"/>
    <n v="2.82"/>
    <n v="85.8"/>
    <n v="42.58"/>
    <n v="67.459999999999994"/>
    <n v="37.26"/>
    <s v="Latin America"/>
  </r>
  <r>
    <n v="2019"/>
    <x v="0"/>
    <s v="Galaxy S20"/>
    <x v="0"/>
    <n v="16573"/>
    <n v="25608331.510000002"/>
    <n v="-0.03"/>
    <n v="47.02"/>
    <n v="3.78"/>
    <n v="77.25"/>
    <n v="84.66"/>
    <s v="Middle East &amp; Africa"/>
  </r>
  <r>
    <n v="2019"/>
    <x v="0"/>
    <s v="Galaxy Note20"/>
    <x v="0"/>
    <n v="7177"/>
    <n v="21984415.829999998"/>
    <n v="0.84"/>
    <n v="25.7"/>
    <n v="23.41"/>
    <n v="105.27"/>
    <n v="40.03"/>
    <s v="North America"/>
  </r>
  <r>
    <n v="2019"/>
    <x v="0"/>
    <s v="Galaxy S21"/>
    <x v="0"/>
    <n v="45633"/>
    <n v="16342437.5"/>
    <n v="2.36"/>
    <n v="89.13"/>
    <n v="44.43"/>
    <n v="206.17"/>
    <n v="76.88"/>
    <s v="Latin America"/>
  </r>
  <r>
    <n v="2019"/>
    <x v="0"/>
    <s v="Galaxy A32 5G"/>
    <x v="1"/>
    <n v="15912"/>
    <n v="17178326.899999999"/>
    <n v="5.41"/>
    <n v="59.12"/>
    <n v="12.14"/>
    <n v="179.15"/>
    <n v="80.790000000000006"/>
    <s v="Middle East &amp; Africa"/>
  </r>
  <r>
    <n v="2019"/>
    <x v="0"/>
    <s v="Galaxy A52 5G"/>
    <x v="1"/>
    <n v="7231"/>
    <n v="48639810.189999998"/>
    <n v="5.9"/>
    <n v="52.94"/>
    <n v="44.36"/>
    <n v="259.16000000000003"/>
    <n v="77.55"/>
    <s v="Latin America"/>
  </r>
  <r>
    <n v="2019"/>
    <x v="0"/>
    <s v="Galaxy A73 5G"/>
    <x v="1"/>
    <n v="58711"/>
    <n v="70175779.069999993"/>
    <n v="4.92"/>
    <n v="79.95"/>
    <n v="49.7"/>
    <n v="191.42"/>
    <n v="74.83"/>
    <s v="Europe"/>
  </r>
  <r>
    <n v="2019"/>
    <x v="0"/>
    <s v="Galaxy Z Fold2 5G"/>
    <x v="1"/>
    <n v="40641"/>
    <n v="51959555.759999998"/>
    <n v="2.64"/>
    <n v="44.77"/>
    <n v="31.27"/>
    <n v="151.18"/>
    <n v="66.509999999999906"/>
    <s v="North America"/>
  </r>
  <r>
    <n v="2019"/>
    <x v="0"/>
    <s v="Galaxy Z Flip3 5G"/>
    <x v="1"/>
    <n v="38119"/>
    <n v="49899540.799999997"/>
    <n v="6.84"/>
    <n v="51.21"/>
    <n v="38.33"/>
    <n v="284.33"/>
    <n v="87.01"/>
    <s v="Latin America"/>
  </r>
  <r>
    <n v="2019"/>
    <x v="0"/>
    <s v="Galaxy S22 5G"/>
    <x v="1"/>
    <n v="36255"/>
    <n v="12091673.939999999"/>
    <n v="4.66"/>
    <n v="56.5"/>
    <n v="9.77"/>
    <n v="81.430000000000007"/>
    <n v="85.88"/>
    <s v="Middle East &amp; Africa"/>
  </r>
  <r>
    <n v="2019"/>
    <x v="0"/>
    <s v="Galaxy Z Fold3 5G"/>
    <x v="1"/>
    <n v="19643"/>
    <n v="36029498.520000003"/>
    <n v="5.67"/>
    <n v="76.62"/>
    <n v="22.84"/>
    <n v="220.82"/>
    <n v="88.16"/>
    <s v="Asia-Pacific"/>
  </r>
  <r>
    <n v="2019"/>
    <x v="0"/>
    <s v="Galaxy A14 5G"/>
    <x v="1"/>
    <n v="12612"/>
    <n v="57161551.82"/>
    <n v="3.24"/>
    <n v="64.479999999999905"/>
    <n v="14.98"/>
    <n v="161.49"/>
    <n v="85.67"/>
    <s v="Middle East &amp; Africa"/>
  </r>
  <r>
    <n v="2019"/>
    <x v="0"/>
    <s v="Galaxy S23 5G"/>
    <x v="1"/>
    <n v="22722"/>
    <n v="45310946.807999998"/>
    <n v="2.88"/>
    <n v="87.12"/>
    <n v="19.04"/>
    <n v="233.87"/>
    <n v="45.66"/>
    <s v="Europe"/>
  </r>
  <r>
    <n v="2019"/>
    <x v="0"/>
    <s v="Galaxy Z Flip5 5G"/>
    <x v="1"/>
    <n v="8453"/>
    <n v="46937282.289999999"/>
    <n v="3.48"/>
    <n v="72.729999999999905"/>
    <n v="23.32"/>
    <n v="130.87"/>
    <n v="53.81"/>
    <s v="Latin America"/>
  </r>
  <r>
    <n v="2019"/>
    <x v="1"/>
    <s v="Galaxy S10"/>
    <x v="0"/>
    <n v="19160"/>
    <n v="6660064.7999999998"/>
    <n v="1.56"/>
    <n v="67.69"/>
    <n v="14.6"/>
    <n v="156.93"/>
    <n v="64.040000000000006"/>
    <s v="Middle East &amp; Africa"/>
  </r>
  <r>
    <n v="2019"/>
    <x v="1"/>
    <s v="Galaxy Note10"/>
    <x v="0"/>
    <n v="38253"/>
    <n v="53195937.002999999"/>
    <n v="-0.05"/>
    <n v="76.73"/>
    <n v="31.96"/>
    <n v="273.85000000000002"/>
    <n v="38.28"/>
    <s v="Middle East &amp; Africa"/>
  </r>
  <r>
    <n v="2019"/>
    <x v="1"/>
    <s v="Galaxy S20"/>
    <x v="0"/>
    <n v="17404"/>
    <n v="14950208.85"/>
    <n v="2.5099999999999998"/>
    <n v="38.86"/>
    <n v="36.380000000000003"/>
    <n v="105.21"/>
    <n v="67.78"/>
    <s v="Middle East &amp; Africa"/>
  </r>
  <r>
    <n v="2019"/>
    <x v="1"/>
    <s v="Galaxy Note20"/>
    <x v="0"/>
    <n v="27841"/>
    <n v="9787426.5150000006"/>
    <n v="3.96"/>
    <n v="75.22"/>
    <n v="46.41"/>
    <n v="283.25"/>
    <n v="44.96"/>
    <s v="Middle East &amp; Africa"/>
  </r>
  <r>
    <n v="2019"/>
    <x v="1"/>
    <s v="Galaxy S21"/>
    <x v="0"/>
    <n v="10047"/>
    <n v="10691516.9"/>
    <n v="1.56"/>
    <n v="45.75"/>
    <n v="15.36"/>
    <n v="112.81"/>
    <n v="85.33"/>
    <s v="Middle East &amp; Africa"/>
  </r>
  <r>
    <n v="2019"/>
    <x v="1"/>
    <s v="Galaxy A32 5G"/>
    <x v="1"/>
    <n v="25054"/>
    <n v="40495943.740000002"/>
    <n v="4.6399999999999997"/>
    <n v="67.39"/>
    <n v="21.03"/>
    <n v="212.78"/>
    <n v="63.69"/>
    <s v="Europe"/>
  </r>
  <r>
    <n v="2019"/>
    <x v="1"/>
    <s v="Galaxy A52 5G"/>
    <x v="1"/>
    <n v="37263"/>
    <n v="29763310.309999999"/>
    <n v="2.76"/>
    <n v="55.56"/>
    <n v="16.03"/>
    <n v="263.32"/>
    <n v="64.63"/>
    <s v="Asia-Pacific"/>
  </r>
  <r>
    <n v="2019"/>
    <x v="1"/>
    <s v="Galaxy A73 5G"/>
    <x v="1"/>
    <n v="39191"/>
    <n v="19631909.34"/>
    <n v="3.35"/>
    <n v="100.83"/>
    <n v="49.18"/>
    <n v="59.84"/>
    <n v="53.2"/>
    <s v="North America"/>
  </r>
  <r>
    <n v="2019"/>
    <x v="1"/>
    <s v="Galaxy Z Fold2 5G"/>
    <x v="1"/>
    <n v="11320"/>
    <n v="36678245.920000002"/>
    <n v="5.99"/>
    <n v="50.12"/>
    <n v="43.18"/>
    <n v="251.51"/>
    <n v="88.81"/>
    <s v="North America"/>
  </r>
  <r>
    <n v="2019"/>
    <x v="1"/>
    <s v="Galaxy Z Flip3 5G"/>
    <x v="1"/>
    <n v="31105"/>
    <n v="12818738.02"/>
    <n v="4.7699999999999996"/>
    <n v="93.04"/>
    <n v="20.52"/>
    <n v="110.55"/>
    <n v="73.069999999999993"/>
    <s v="North America"/>
  </r>
  <r>
    <n v="2019"/>
    <x v="1"/>
    <s v="Galaxy S22 5G"/>
    <x v="1"/>
    <n v="24185"/>
    <n v="52192972.549999997"/>
    <n v="2.95"/>
    <n v="40.549999999999997"/>
    <n v="46.73"/>
    <n v="200.47"/>
    <n v="83.06"/>
    <s v="Middle East &amp; Africa"/>
  </r>
  <r>
    <n v="2019"/>
    <x v="1"/>
    <s v="Galaxy Z Fold3 5G"/>
    <x v="1"/>
    <n v="8422"/>
    <n v="11292488.050000001"/>
    <n v="6"/>
    <n v="55.76"/>
    <n v="30.55"/>
    <n v="170.31"/>
    <n v="78.44"/>
    <s v="Latin America"/>
  </r>
  <r>
    <n v="2019"/>
    <x v="1"/>
    <s v="Galaxy A14 5G"/>
    <x v="1"/>
    <n v="56397"/>
    <n v="18390883.850000001"/>
    <n v="6.11"/>
    <n v="70.959999999999994"/>
    <n v="23.8"/>
    <n v="167.75"/>
    <n v="55.21"/>
    <s v="North America"/>
  </r>
  <r>
    <n v="2019"/>
    <x v="1"/>
    <s v="Galaxy S23 5G"/>
    <x v="1"/>
    <n v="36613"/>
    <n v="63070767.789999999"/>
    <n v="3.25"/>
    <n v="83.96"/>
    <n v="13.22"/>
    <n v="280.73"/>
    <n v="75.510000000000005"/>
    <s v="North America"/>
  </r>
  <r>
    <n v="2019"/>
    <x v="1"/>
    <s v="Galaxy Z Flip5 5G"/>
    <x v="1"/>
    <n v="12030"/>
    <n v="33549565.920000002"/>
    <n v="5.82"/>
    <n v="48.62"/>
    <n v="36.32"/>
    <n v="227.63"/>
    <n v="91.79"/>
    <s v="Latin America"/>
  </r>
  <r>
    <n v="2019"/>
    <x v="2"/>
    <s v="Galaxy S10"/>
    <x v="0"/>
    <n v="27112"/>
    <n v="27051337.739999998"/>
    <n v="3.78"/>
    <n v="61.35"/>
    <n v="47.48"/>
    <n v="152"/>
    <n v="50.23"/>
    <s v="North America"/>
  </r>
  <r>
    <n v="2019"/>
    <x v="2"/>
    <s v="Galaxy Note10"/>
    <x v="0"/>
    <n v="28788"/>
    <n v="10130230.560000001"/>
    <n v="1.38"/>
    <n v="25.88"/>
    <n v="6.92"/>
    <n v="129.04"/>
    <n v="46.41"/>
    <s v="Middle East &amp; Africa"/>
  </r>
  <r>
    <n v="2019"/>
    <x v="2"/>
    <s v="Galaxy S20"/>
    <x v="0"/>
    <n v="29329"/>
    <n v="11066723.119999999"/>
    <n v="1.23"/>
    <n v="57.98"/>
    <n v="32.340000000000003"/>
    <n v="132.81"/>
    <n v="77.31"/>
    <s v="Asia-Pacific"/>
  </r>
  <r>
    <n v="2019"/>
    <x v="2"/>
    <s v="Galaxy Note20"/>
    <x v="0"/>
    <n v="12535"/>
    <n v="28466176.109999999"/>
    <n v="2.09"/>
    <n v="55.61"/>
    <n v="31.12"/>
    <n v="111.28"/>
    <n v="47.14"/>
    <s v="Latin America"/>
  </r>
  <r>
    <n v="2019"/>
    <x v="2"/>
    <s v="Galaxy S21"/>
    <x v="0"/>
    <n v="20683"/>
    <n v="15828498.960000001"/>
    <n v="0.34"/>
    <n v="30.32"/>
    <n v="-0.65"/>
    <n v="239.67"/>
    <n v="46.13"/>
    <s v="Europe"/>
  </r>
  <r>
    <n v="2019"/>
    <x v="2"/>
    <s v="Galaxy A32 5G"/>
    <x v="1"/>
    <n v="57404"/>
    <n v="22248956.960000001"/>
    <n v="6.12"/>
    <n v="83.5"/>
    <n v="46.57"/>
    <n v="211.08"/>
    <n v="58.89"/>
    <s v="Europe"/>
  </r>
  <r>
    <n v="2019"/>
    <x v="2"/>
    <s v="Galaxy A52 5G"/>
    <x v="1"/>
    <n v="56869"/>
    <n v="78970161.311999902"/>
    <n v="6.12"/>
    <n v="102.54"/>
    <n v="21.09"/>
    <n v="83.18"/>
    <n v="94.7"/>
    <s v="Latin America"/>
  </r>
  <r>
    <n v="2019"/>
    <x v="2"/>
    <s v="Galaxy A73 5G"/>
    <x v="1"/>
    <n v="6542"/>
    <n v="13222480.68"/>
    <n v="3.5"/>
    <n v="88.84"/>
    <n v="26.74"/>
    <n v="115.63"/>
    <n v="54.75"/>
    <s v="Asia-Pacific"/>
  </r>
  <r>
    <n v="2019"/>
    <x v="2"/>
    <s v="Galaxy Z Fold2 5G"/>
    <x v="1"/>
    <n v="57951"/>
    <n v="41600297.390000001"/>
    <n v="2.72"/>
    <n v="55.58"/>
    <n v="17.57"/>
    <n v="184.77"/>
    <n v="67.900000000000006"/>
    <s v="Asia-Pacific"/>
  </r>
  <r>
    <n v="2019"/>
    <x v="2"/>
    <s v="Galaxy Z Flip3 5G"/>
    <x v="1"/>
    <n v="25004"/>
    <n v="28940719.489999998"/>
    <n v="6.33"/>
    <n v="45.56"/>
    <n v="44.29"/>
    <n v="124.19"/>
    <n v="54.15"/>
    <s v="Europe"/>
  </r>
  <r>
    <n v="2019"/>
    <x v="2"/>
    <s v="Galaxy S22 5G"/>
    <x v="1"/>
    <n v="15756"/>
    <n v="19796585.920000002"/>
    <n v="3.58"/>
    <n v="76.64"/>
    <n v="36.22"/>
    <n v="206.39"/>
    <n v="88.16"/>
    <s v="Middle East &amp; Africa"/>
  </r>
  <r>
    <n v="2019"/>
    <x v="2"/>
    <s v="Galaxy Z Fold3 5G"/>
    <x v="1"/>
    <n v="56418"/>
    <n v="53656997.799999997"/>
    <n v="6.91"/>
    <n v="54.03"/>
    <n v="24.27"/>
    <n v="61.49"/>
    <n v="87.97"/>
    <s v="Middle East &amp; Africa"/>
  </r>
  <r>
    <n v="2019"/>
    <x v="2"/>
    <s v="Galaxy A14 5G"/>
    <x v="1"/>
    <n v="30819"/>
    <n v="60274563.340000004"/>
    <n v="3.44"/>
    <n v="41.17"/>
    <n v="26.42"/>
    <n v="199.68"/>
    <n v="61.6"/>
    <s v="North America"/>
  </r>
  <r>
    <n v="2019"/>
    <x v="2"/>
    <s v="Galaxy S23 5G"/>
    <x v="1"/>
    <n v="18284"/>
    <n v="26788292.559999999"/>
    <n v="6.45"/>
    <n v="80"/>
    <n v="23.63"/>
    <n v="137.72999999999999"/>
    <n v="81.319999999999993"/>
    <s v="Latin America"/>
  </r>
  <r>
    <n v="2019"/>
    <x v="2"/>
    <s v="Galaxy Z Flip5 5G"/>
    <x v="1"/>
    <n v="48617"/>
    <n v="6134803.4639999997"/>
    <n v="6.48"/>
    <n v="91.79"/>
    <n v="54.94"/>
    <n v="88.28"/>
    <n v="82.55"/>
    <s v="Latin America"/>
  </r>
  <r>
    <n v="2019"/>
    <x v="3"/>
    <s v="Galaxy S10"/>
    <x v="0"/>
    <n v="30040"/>
    <n v="34166065.189999998"/>
    <n v="1.5699999999999901"/>
    <n v="28.49"/>
    <n v="47.01"/>
    <n v="243.47"/>
    <n v="58.24"/>
    <s v="North America"/>
  </r>
  <r>
    <n v="2019"/>
    <x v="3"/>
    <s v="Galaxy Note10"/>
    <x v="0"/>
    <n v="40978"/>
    <n v="52202051.460000001"/>
    <n v="0.34"/>
    <n v="39.979999999999997"/>
    <n v="44.96"/>
    <n v="130.25"/>
    <n v="45.44"/>
    <s v="Europe"/>
  </r>
  <r>
    <n v="2019"/>
    <x v="3"/>
    <s v="Galaxy S20"/>
    <x v="0"/>
    <n v="46113"/>
    <n v="23485210.48"/>
    <n v="1.89"/>
    <n v="69.900000000000006"/>
    <n v="13.34"/>
    <n v="167.31"/>
    <n v="45.48"/>
    <s v="Europe"/>
  </r>
  <r>
    <n v="2019"/>
    <x v="3"/>
    <s v="Galaxy Note20"/>
    <x v="0"/>
    <n v="8438"/>
    <n v="35324703.520000003"/>
    <n v="2.29"/>
    <n v="80.900000000000006"/>
    <n v="10.53"/>
    <n v="80.150000000000006"/>
    <n v="75.72"/>
    <s v="Middle East &amp; Africa"/>
  </r>
  <r>
    <n v="2019"/>
    <x v="3"/>
    <s v="Galaxy S21"/>
    <x v="0"/>
    <n v="23500"/>
    <n v="33337345.93"/>
    <n v="3.74"/>
    <n v="33.06"/>
    <n v="18.7"/>
    <n v="73.31"/>
    <n v="70.739999999999995"/>
    <s v="Europe"/>
  </r>
  <r>
    <n v="2019"/>
    <x v="3"/>
    <s v="Galaxy A32 5G"/>
    <x v="1"/>
    <n v="40164"/>
    <n v="21739755.84"/>
    <n v="3.76"/>
    <n v="50.13"/>
    <n v="13.99"/>
    <n v="210.05"/>
    <n v="58.83"/>
    <s v="Latin America"/>
  </r>
  <r>
    <n v="2019"/>
    <x v="3"/>
    <s v="Galaxy A52 5G"/>
    <x v="1"/>
    <n v="53367"/>
    <n v="69827344.420000002"/>
    <n v="6.1"/>
    <n v="95.93"/>
    <n v="47.57"/>
    <n v="185.7"/>
    <n v="93.45"/>
    <s v="North America"/>
  </r>
  <r>
    <n v="2019"/>
    <x v="3"/>
    <s v="Galaxy A73 5G"/>
    <x v="1"/>
    <n v="37612"/>
    <n v="34802846.640000001"/>
    <n v="2.5299999999999998"/>
    <n v="66.459999999999994"/>
    <n v="24.02"/>
    <n v="120.07"/>
    <n v="87.24"/>
    <s v="Middle East &amp; Africa"/>
  </r>
  <r>
    <n v="2019"/>
    <x v="3"/>
    <s v="Galaxy Z Fold2 5G"/>
    <x v="1"/>
    <n v="31445"/>
    <n v="62662104.5"/>
    <n v="4.8599999999999897"/>
    <n v="61.44"/>
    <n v="27.46"/>
    <n v="183.03"/>
    <n v="72.209999999999994"/>
    <s v="Asia-Pacific"/>
  </r>
  <r>
    <n v="2019"/>
    <x v="3"/>
    <s v="Galaxy Z Flip3 5G"/>
    <x v="1"/>
    <n v="34541"/>
    <n v="23308775.82"/>
    <n v="4.0299999999999896"/>
    <n v="59.35"/>
    <n v="8.3699999999999992"/>
    <n v="138.66999999999999"/>
    <n v="80.349999999999994"/>
    <s v="Latin America"/>
  </r>
  <r>
    <n v="2019"/>
    <x v="3"/>
    <s v="Galaxy S22 5G"/>
    <x v="1"/>
    <n v="6719"/>
    <n v="38311286.359999999"/>
    <n v="5.38"/>
    <n v="42.55"/>
    <n v="50.32"/>
    <n v="110.97"/>
    <n v="87.8"/>
    <s v="Asia-Pacific"/>
  </r>
  <r>
    <n v="2019"/>
    <x v="3"/>
    <s v="Galaxy Z Fold3 5G"/>
    <x v="1"/>
    <n v="32919"/>
    <n v="38143238.390000001"/>
    <n v="6.62"/>
    <n v="79.48"/>
    <n v="45.85"/>
    <n v="295.62"/>
    <n v="58.71"/>
    <s v="North America"/>
  </r>
  <r>
    <n v="2019"/>
    <x v="3"/>
    <s v="Galaxy A14 5G"/>
    <x v="1"/>
    <n v="46371"/>
    <n v="71988709.969999999"/>
    <n v="3.21"/>
    <n v="88.89"/>
    <n v="48.87"/>
    <n v="265.70999999999998"/>
    <n v="90.81"/>
    <s v="Europe"/>
  </r>
  <r>
    <n v="2019"/>
    <x v="3"/>
    <s v="Galaxy S23 5G"/>
    <x v="1"/>
    <n v="40084"/>
    <n v="17163852.827999901"/>
    <n v="6.33"/>
    <n v="42.8"/>
    <n v="48.55"/>
    <n v="156.88"/>
    <n v="53.55"/>
    <s v="Asia-Pacific"/>
  </r>
  <r>
    <n v="2019"/>
    <x v="3"/>
    <s v="Galaxy Z Flip5 5G"/>
    <x v="1"/>
    <n v="20192"/>
    <n v="14639182.699999999"/>
    <n v="4.6099999999999897"/>
    <n v="48.26"/>
    <n v="50.86"/>
    <n v="195.2"/>
    <n v="60.91"/>
    <s v="Latin America"/>
  </r>
  <r>
    <n v="2020"/>
    <x v="0"/>
    <s v="Galaxy S10"/>
    <x v="0"/>
    <n v="17825"/>
    <n v="37347187.770000003"/>
    <n v="0.159999999999999"/>
    <n v="62.97"/>
    <n v="26.44"/>
    <n v="245.48"/>
    <n v="75.23"/>
    <s v="Europe"/>
  </r>
  <r>
    <n v="2020"/>
    <x v="0"/>
    <s v="Galaxy Note10"/>
    <x v="0"/>
    <n v="21472"/>
    <n v="34965645.310000002"/>
    <n v="0.25"/>
    <n v="49.22"/>
    <n v="24.99"/>
    <n v="247.01"/>
    <n v="80.17"/>
    <s v="Latin America"/>
  </r>
  <r>
    <n v="2020"/>
    <x v="0"/>
    <s v="Galaxy S20"/>
    <x v="0"/>
    <n v="35641"/>
    <n v="48775290.390000001"/>
    <n v="3.88"/>
    <n v="60.51"/>
    <n v="6.1"/>
    <n v="196.59"/>
    <n v="78.94"/>
    <s v="North America"/>
  </r>
  <r>
    <n v="2020"/>
    <x v="0"/>
    <s v="Galaxy Note20"/>
    <x v="0"/>
    <n v="18960"/>
    <n v="25972084.140000001"/>
    <n v="0.53"/>
    <n v="72.69"/>
    <n v="26.51"/>
    <n v="157.1"/>
    <n v="53.68"/>
    <s v="Latin America"/>
  </r>
  <r>
    <n v="2020"/>
    <x v="0"/>
    <s v="Galaxy S21"/>
    <x v="0"/>
    <n v="18546"/>
    <n v="42315159.990000002"/>
    <n v="1.81"/>
    <n v="58.09"/>
    <n v="33.08"/>
    <n v="110.9"/>
    <n v="49.63"/>
    <s v="Latin America"/>
  </r>
  <r>
    <n v="2020"/>
    <x v="0"/>
    <s v="Galaxy A32 5G"/>
    <x v="1"/>
    <n v="42883"/>
    <n v="18588730.370000001"/>
    <n v="6.37"/>
    <n v="72.87"/>
    <n v="45.86"/>
    <n v="273.58999999999997"/>
    <n v="52.9"/>
    <s v="Asia-Pacific"/>
  </r>
  <r>
    <n v="2020"/>
    <x v="0"/>
    <s v="Galaxy A52 5G"/>
    <x v="1"/>
    <n v="49662"/>
    <n v="52134225.079999998"/>
    <n v="2.9"/>
    <n v="96.42"/>
    <n v="52.2"/>
    <n v="187.23"/>
    <n v="76.5"/>
    <s v="Middle East &amp; Africa"/>
  </r>
  <r>
    <n v="2020"/>
    <x v="0"/>
    <s v="Galaxy A73 5G"/>
    <x v="1"/>
    <n v="48484"/>
    <n v="10752134.16"/>
    <n v="3.75"/>
    <n v="41.49"/>
    <n v="10.67"/>
    <n v="87.88"/>
    <n v="79.09"/>
    <s v="Middle East &amp; Africa"/>
  </r>
  <r>
    <n v="2020"/>
    <x v="0"/>
    <s v="Galaxy Z Fold2 5G"/>
    <x v="1"/>
    <n v="11438"/>
    <n v="56002244.289999999"/>
    <n v="6.33"/>
    <n v="93.95"/>
    <n v="52.02"/>
    <n v="168.24"/>
    <n v="63.04"/>
    <s v="Asia-Pacific"/>
  </r>
  <r>
    <n v="2020"/>
    <x v="0"/>
    <s v="Galaxy Z Flip3 5G"/>
    <x v="1"/>
    <n v="58199"/>
    <n v="35481161.409999996"/>
    <n v="5.66"/>
    <n v="42.96"/>
    <n v="27.95"/>
    <n v="151.66"/>
    <n v="52.29"/>
    <s v="Latin America"/>
  </r>
  <r>
    <n v="2020"/>
    <x v="0"/>
    <s v="Galaxy S22 5G"/>
    <x v="1"/>
    <n v="40807"/>
    <n v="28409469.32"/>
    <n v="3.04"/>
    <n v="47.56"/>
    <n v="33.590000000000003"/>
    <n v="95.38"/>
    <n v="57.91"/>
    <s v="Latin America"/>
  </r>
  <r>
    <n v="2020"/>
    <x v="0"/>
    <s v="Galaxy Z Fold3 5G"/>
    <x v="1"/>
    <n v="27476"/>
    <n v="29188076.98"/>
    <n v="4.96"/>
    <n v="54.96"/>
    <n v="34.619999999999997"/>
    <n v="228.07"/>
    <n v="69.239999999999995"/>
    <s v="North America"/>
  </r>
  <r>
    <n v="2020"/>
    <x v="0"/>
    <s v="Galaxy A14 5G"/>
    <x v="1"/>
    <n v="25491"/>
    <n v="13470114.800000001"/>
    <n v="6.6"/>
    <n v="70"/>
    <n v="41.55"/>
    <n v="54.56"/>
    <n v="66.45"/>
    <s v="Middle East &amp; Africa"/>
  </r>
  <r>
    <n v="2020"/>
    <x v="0"/>
    <s v="Galaxy S23 5G"/>
    <x v="1"/>
    <n v="57319"/>
    <n v="64038833.049999997"/>
    <n v="5.25"/>
    <n v="98.77"/>
    <n v="44.44"/>
    <n v="187.76"/>
    <n v="51.45"/>
    <s v="North America"/>
  </r>
  <r>
    <n v="2020"/>
    <x v="0"/>
    <s v="Galaxy Z Flip5 5G"/>
    <x v="1"/>
    <n v="53118"/>
    <n v="71564619.920000002"/>
    <n v="4.21"/>
    <n v="103.57"/>
    <n v="52.17"/>
    <n v="120.41"/>
    <n v="76.81"/>
    <s v="North America"/>
  </r>
  <r>
    <n v="2020"/>
    <x v="1"/>
    <s v="Galaxy S10"/>
    <x v="0"/>
    <n v="21197"/>
    <n v="22480526.16"/>
    <n v="1.84"/>
    <n v="39.26"/>
    <n v="10.62"/>
    <n v="193.23"/>
    <n v="38.5"/>
    <s v="Latin America"/>
  </r>
  <r>
    <n v="2020"/>
    <x v="1"/>
    <s v="Galaxy Note10"/>
    <x v="0"/>
    <n v="8785"/>
    <n v="16339172.24"/>
    <n v="-0.36"/>
    <n v="50.5"/>
    <n v="16.16"/>
    <n v="96.06"/>
    <n v="70.489999999999995"/>
    <s v="Europe"/>
  </r>
  <r>
    <n v="2020"/>
    <x v="1"/>
    <s v="Galaxy S20"/>
    <x v="0"/>
    <n v="43775"/>
    <n v="10852645.859999999"/>
    <n v="2.71"/>
    <n v="42.03"/>
    <n v="29.43"/>
    <n v="282.82"/>
    <n v="64.08"/>
    <s v="Europe"/>
  </r>
  <r>
    <n v="2020"/>
    <x v="1"/>
    <s v="Galaxy Note20"/>
    <x v="0"/>
    <n v="29178"/>
    <n v="41803911.049999997"/>
    <n v="2.59"/>
    <n v="47.84"/>
    <n v="16.52"/>
    <n v="134.32"/>
    <n v="74.930000000000007"/>
    <s v="Latin America"/>
  </r>
  <r>
    <n v="2020"/>
    <x v="1"/>
    <s v="Galaxy S21"/>
    <x v="0"/>
    <n v="8601"/>
    <n v="32922566.239999998"/>
    <n v="2.99"/>
    <n v="82.16"/>
    <n v="47.56"/>
    <n v="139.41999999999999"/>
    <n v="52.96"/>
    <s v="Asia-Pacific"/>
  </r>
  <r>
    <n v="2020"/>
    <x v="1"/>
    <s v="Galaxy A32 5G"/>
    <x v="1"/>
    <n v="51214"/>
    <n v="22604101.449999999"/>
    <n v="3.88"/>
    <n v="98.74"/>
    <n v="29.87"/>
    <n v="153.44999999999999"/>
    <n v="54.94"/>
    <s v="North America"/>
  </r>
  <r>
    <n v="2020"/>
    <x v="1"/>
    <s v="Galaxy A52 5G"/>
    <x v="1"/>
    <n v="58086"/>
    <n v="50254952.18"/>
    <n v="6.19"/>
    <n v="46.93"/>
    <n v="40.93"/>
    <n v="130.68"/>
    <n v="54.46"/>
    <s v="Europe"/>
  </r>
  <r>
    <n v="2020"/>
    <x v="1"/>
    <s v="Galaxy A73 5G"/>
    <x v="1"/>
    <n v="63974"/>
    <n v="66783552.340000004"/>
    <n v="4.99"/>
    <n v="43.38"/>
    <n v="39.44"/>
    <n v="264.14999999999998"/>
    <n v="79.22"/>
    <s v="Middle East &amp; Africa"/>
  </r>
  <r>
    <n v="2020"/>
    <x v="1"/>
    <s v="Galaxy Z Fold2 5G"/>
    <x v="1"/>
    <n v="47829"/>
    <n v="6077295.0480000004"/>
    <n v="3.59"/>
    <n v="88.79"/>
    <n v="32.57"/>
    <n v="175.9"/>
    <n v="45.25"/>
    <s v="North America"/>
  </r>
  <r>
    <n v="2020"/>
    <x v="1"/>
    <s v="Galaxy Z Flip3 5G"/>
    <x v="1"/>
    <n v="41163"/>
    <n v="19005446.109999999"/>
    <n v="4.79"/>
    <n v="51.77"/>
    <n v="44.26"/>
    <n v="210.86"/>
    <n v="88.02"/>
    <s v="Europe"/>
  </r>
  <r>
    <n v="2020"/>
    <x v="1"/>
    <s v="Galaxy S22 5G"/>
    <x v="1"/>
    <n v="27381"/>
    <n v="65294982.829999998"/>
    <n v="2.65"/>
    <n v="62.02"/>
    <n v="25.37"/>
    <n v="130.24"/>
    <n v="86.46"/>
    <s v="North America"/>
  </r>
  <r>
    <n v="2020"/>
    <x v="1"/>
    <s v="Galaxy Z Fold3 5G"/>
    <x v="1"/>
    <n v="61462"/>
    <n v="55137531.491999902"/>
    <n v="5.7799999999999896"/>
    <n v="89.44"/>
    <n v="51.04"/>
    <n v="280.82"/>
    <n v="85.04"/>
    <s v="Latin America"/>
  </r>
  <r>
    <n v="2020"/>
    <x v="1"/>
    <s v="Galaxy A14 5G"/>
    <x v="1"/>
    <n v="10455"/>
    <n v="27982805.100000001"/>
    <n v="6.83"/>
    <n v="69.099999999999994"/>
    <n v="10.39"/>
    <n v="105.02"/>
    <n v="75.930000000000007"/>
    <s v="Latin America"/>
  </r>
  <r>
    <n v="2020"/>
    <x v="1"/>
    <s v="Galaxy S23 5G"/>
    <x v="1"/>
    <n v="53896"/>
    <n v="47982928.727999903"/>
    <n v="3.17"/>
    <n v="75.16"/>
    <n v="22.74"/>
    <n v="92.93"/>
    <n v="86.89"/>
    <s v="Latin America"/>
  </r>
  <r>
    <n v="2020"/>
    <x v="1"/>
    <s v="Galaxy Z Flip5 5G"/>
    <x v="1"/>
    <n v="47830"/>
    <n v="79207664.340000004"/>
    <n v="3.46"/>
    <n v="58.97"/>
    <n v="52.43"/>
    <n v="236.28"/>
    <n v="50.08"/>
    <s v="Asia-Pacific"/>
  </r>
  <r>
    <n v="2020"/>
    <x v="2"/>
    <s v="Galaxy S10"/>
    <x v="0"/>
    <n v="27328"/>
    <n v="31739575.949999999"/>
    <n v="-0.42"/>
    <n v="68.61"/>
    <n v="19.37"/>
    <n v="57.25"/>
    <n v="41.31"/>
    <s v="Middle East &amp; Africa"/>
  </r>
  <r>
    <n v="2020"/>
    <x v="2"/>
    <s v="Galaxy Note10"/>
    <x v="0"/>
    <n v="38772"/>
    <n v="27841226.879999999"/>
    <n v="3.48"/>
    <n v="60.92"/>
    <n v="27.62"/>
    <n v="136.07"/>
    <n v="84.47"/>
    <s v="Europe"/>
  </r>
  <r>
    <n v="2020"/>
    <x v="2"/>
    <s v="Galaxy S20"/>
    <x v="0"/>
    <n v="7511"/>
    <n v="31385211.280000001"/>
    <n v="1.48"/>
    <n v="60"/>
    <n v="1.68"/>
    <n v="52.52"/>
    <n v="85.45"/>
    <s v="North America"/>
  </r>
  <r>
    <n v="2020"/>
    <x v="2"/>
    <s v="Galaxy Note20"/>
    <x v="0"/>
    <n v="16212"/>
    <n v="59842662.149999999"/>
    <n v="0.36"/>
    <n v="81.98"/>
    <n v="6.72"/>
    <n v="59.98"/>
    <n v="45.43"/>
    <s v="Middle East &amp; Africa"/>
  </r>
  <r>
    <n v="2020"/>
    <x v="2"/>
    <s v="Galaxy S21"/>
    <x v="0"/>
    <n v="44767"/>
    <n v="6397386.2189999996"/>
    <n v="2.66"/>
    <n v="65.67"/>
    <n v="24.92"/>
    <n v="94.9"/>
    <n v="53.63"/>
    <s v="Middle East &amp; Africa"/>
  </r>
  <r>
    <n v="2020"/>
    <x v="2"/>
    <s v="Galaxy A32 5G"/>
    <x v="1"/>
    <n v="29628"/>
    <n v="50812407.275999904"/>
    <n v="5.1099999999999897"/>
    <n v="88.32"/>
    <n v="13.49"/>
    <n v="66.69"/>
    <n v="63.04"/>
    <s v="Asia-Pacific"/>
  </r>
  <r>
    <n v="2020"/>
    <x v="2"/>
    <s v="Galaxy A52 5G"/>
    <x v="1"/>
    <n v="63137"/>
    <n v="23567297.829999998"/>
    <n v="4.79"/>
    <n v="66.150000000000006"/>
    <n v="49.64"/>
    <n v="94.47"/>
    <n v="82.6"/>
    <s v="North America"/>
  </r>
  <r>
    <n v="2020"/>
    <x v="2"/>
    <s v="Galaxy A73 5G"/>
    <x v="1"/>
    <n v="56115"/>
    <n v="16158944.449999999"/>
    <n v="6.22"/>
    <n v="91.44"/>
    <n v="29.96"/>
    <n v="193.54"/>
    <n v="89.31"/>
    <s v="Europe"/>
  </r>
  <r>
    <n v="2020"/>
    <x v="2"/>
    <s v="Galaxy Z Fold2 5G"/>
    <x v="1"/>
    <n v="33872"/>
    <n v="60050676.799999997"/>
    <n v="2.94"/>
    <n v="88.63"/>
    <n v="27.11"/>
    <n v="186.09"/>
    <n v="61.17"/>
    <s v="Middle East &amp; Africa"/>
  </r>
  <r>
    <n v="2020"/>
    <x v="2"/>
    <s v="Galaxy Z Flip3 5G"/>
    <x v="1"/>
    <n v="56598"/>
    <n v="9650777.5319999997"/>
    <n v="6.61"/>
    <n v="77.650000000000006"/>
    <n v="26.15"/>
    <n v="69.040000000000006"/>
    <n v="88.7"/>
    <s v="Latin America"/>
  </r>
  <r>
    <n v="2020"/>
    <x v="2"/>
    <s v="Galaxy S22 5G"/>
    <x v="1"/>
    <n v="8082"/>
    <n v="53518254.119999997"/>
    <n v="3.35"/>
    <n v="102.49"/>
    <n v="49.53"/>
    <n v="289.41000000000003"/>
    <n v="93.02"/>
    <s v="Europe"/>
  </r>
  <r>
    <n v="2020"/>
    <x v="2"/>
    <s v="Galaxy Z Fold3 5G"/>
    <x v="1"/>
    <n v="53108"/>
    <n v="8982957.7799999993"/>
    <n v="6.02"/>
    <n v="47.8"/>
    <n v="32.450000000000003"/>
    <n v="100.39"/>
    <n v="59.44"/>
    <s v="Latin America"/>
  </r>
  <r>
    <n v="2020"/>
    <x v="2"/>
    <s v="Galaxy A14 5G"/>
    <x v="1"/>
    <n v="42820"/>
    <n v="5518854.45599999"/>
    <n v="6.58"/>
    <n v="41.01"/>
    <n v="18.12"/>
    <n v="169.67"/>
    <n v="79.56"/>
    <s v="Europe"/>
  </r>
  <r>
    <n v="2020"/>
    <x v="2"/>
    <s v="Galaxy S23 5G"/>
    <x v="1"/>
    <n v="55164"/>
    <n v="9027240.9240000006"/>
    <n v="4.7699999999999996"/>
    <n v="48.66"/>
    <n v="29.6"/>
    <n v="94.48"/>
    <n v="55.85"/>
    <s v="Europe"/>
  </r>
  <r>
    <n v="2020"/>
    <x v="2"/>
    <s v="Galaxy Z Flip5 5G"/>
    <x v="1"/>
    <n v="12993"/>
    <n v="7444019.2560000001"/>
    <n v="3.67"/>
    <n v="53.23"/>
    <n v="49.96"/>
    <n v="236.45"/>
    <n v="87.73"/>
    <s v="North America"/>
  </r>
  <r>
    <n v="2020"/>
    <x v="3"/>
    <s v="Galaxy S10"/>
    <x v="0"/>
    <n v="49522"/>
    <n v="13749933.390000001"/>
    <n v="0.73"/>
    <n v="68.38"/>
    <n v="46.89"/>
    <n v="221.54"/>
    <n v="67.28"/>
    <s v="North America"/>
  </r>
  <r>
    <n v="2020"/>
    <x v="3"/>
    <s v="Galaxy Note10"/>
    <x v="0"/>
    <n v="35672"/>
    <n v="43822054.960000001"/>
    <n v="0.84"/>
    <n v="44.22"/>
    <n v="46.9"/>
    <n v="285.05"/>
    <n v="50.09"/>
    <s v="Asia-Pacific"/>
  </r>
  <r>
    <n v="2020"/>
    <x v="3"/>
    <s v="Galaxy S20"/>
    <x v="0"/>
    <n v="23896"/>
    <n v="18747121.280000001"/>
    <n v="-0.49"/>
    <n v="32.090000000000003"/>
    <n v="10.83"/>
    <n v="225.49"/>
    <n v="56.78"/>
    <s v="Middle East &amp; Africa"/>
  </r>
  <r>
    <n v="2020"/>
    <x v="3"/>
    <s v="Galaxy Note20"/>
    <x v="0"/>
    <n v="7473"/>
    <n v="19621770.609999999"/>
    <n v="3.88"/>
    <n v="74.66"/>
    <n v="27.55"/>
    <n v="177.22"/>
    <n v="72.36"/>
    <s v="North America"/>
  </r>
  <r>
    <n v="2020"/>
    <x v="3"/>
    <s v="Galaxy S21"/>
    <x v="0"/>
    <n v="11913"/>
    <n v="41627181.200000003"/>
    <n v="-0.35"/>
    <n v="64.459999999999994"/>
    <n v="0.83999999999999897"/>
    <n v="155.16"/>
    <n v="44.89"/>
    <s v="Latin America"/>
  </r>
  <r>
    <n v="2020"/>
    <x v="3"/>
    <s v="Galaxy A32 5G"/>
    <x v="1"/>
    <n v="39692"/>
    <n v="34859771.57"/>
    <n v="6.62"/>
    <n v="87.81"/>
    <n v="39.64"/>
    <n v="189.6"/>
    <n v="62.18"/>
    <s v="Asia-Pacific"/>
  </r>
  <r>
    <n v="2020"/>
    <x v="3"/>
    <s v="Galaxy A52 5G"/>
    <x v="1"/>
    <n v="48805"/>
    <n v="32349455.399999999"/>
    <n v="4.42"/>
    <n v="99.33"/>
    <n v="33.79"/>
    <n v="96.26"/>
    <n v="57.17"/>
    <s v="North America"/>
  </r>
  <r>
    <n v="2020"/>
    <x v="3"/>
    <s v="Galaxy A73 5G"/>
    <x v="1"/>
    <n v="8115"/>
    <n v="44826833.530000001"/>
    <n v="4.6500000000000004"/>
    <n v="62.42"/>
    <n v="41.52"/>
    <n v="295.85000000000002"/>
    <n v="48.71"/>
    <s v="Asia-Pacific"/>
  </r>
  <r>
    <n v="2020"/>
    <x v="3"/>
    <s v="Galaxy Z Fold2 5G"/>
    <x v="1"/>
    <n v="52951"/>
    <n v="13524137.65"/>
    <n v="2.83"/>
    <n v="73.069999999999993"/>
    <n v="27.79"/>
    <n v="52.85"/>
    <n v="70.84"/>
    <s v="Europe"/>
  </r>
  <r>
    <n v="2020"/>
    <x v="3"/>
    <s v="Galaxy Z Flip3 5G"/>
    <x v="1"/>
    <n v="40353"/>
    <n v="16476389.24"/>
    <n v="3.06"/>
    <n v="46.41"/>
    <n v="21.11"/>
    <n v="194.98"/>
    <n v="54.61"/>
    <s v="Middle East &amp; Africa"/>
  </r>
  <r>
    <n v="2020"/>
    <x v="3"/>
    <s v="Galaxy S22 5G"/>
    <x v="1"/>
    <n v="26015"/>
    <n v="13548942.4439999"/>
    <n v="5.19"/>
    <n v="92.87"/>
    <n v="45.67"/>
    <n v="248.52"/>
    <n v="85.87"/>
    <s v="North America"/>
  </r>
  <r>
    <n v="2020"/>
    <x v="3"/>
    <s v="Galaxy Z Fold3 5G"/>
    <x v="1"/>
    <n v="11163"/>
    <n v="12032304.635999899"/>
    <n v="3.84"/>
    <n v="40.71"/>
    <n v="45.09"/>
    <n v="122.22"/>
    <n v="83.63"/>
    <s v="North America"/>
  </r>
  <r>
    <n v="2020"/>
    <x v="3"/>
    <s v="Galaxy A14 5G"/>
    <x v="1"/>
    <n v="36975"/>
    <n v="33358884.739999998"/>
    <n v="5.3599999999999897"/>
    <n v="74.28"/>
    <n v="33.57"/>
    <n v="72.540000000000006"/>
    <n v="57.77"/>
    <s v="North America"/>
  </r>
  <r>
    <n v="2020"/>
    <x v="3"/>
    <s v="Galaxy S23 5G"/>
    <x v="1"/>
    <n v="28163"/>
    <n v="76740547.760000005"/>
    <n v="6.5"/>
    <n v="49.19"/>
    <n v="23.05"/>
    <n v="154.41999999999999"/>
    <n v="78.77"/>
    <s v="Latin America"/>
  </r>
  <r>
    <n v="2020"/>
    <x v="3"/>
    <s v="Galaxy Z Flip5 5G"/>
    <x v="1"/>
    <n v="49246"/>
    <n v="5030391.84"/>
    <n v="6.07"/>
    <n v="51.07"/>
    <n v="47.75"/>
    <n v="137.41999999999999"/>
    <n v="71.5"/>
    <s v="Middle East &amp; Africa"/>
  </r>
  <r>
    <n v="2021"/>
    <x v="0"/>
    <s v="Galaxy S10"/>
    <x v="0"/>
    <n v="44456"/>
    <n v="14331275.99"/>
    <n v="0.64999999999999902"/>
    <n v="61.11"/>
    <n v="40.369999999999997"/>
    <n v="129.5"/>
    <n v="66.930000000000007"/>
    <s v="North America"/>
  </r>
  <r>
    <n v="2021"/>
    <x v="0"/>
    <s v="Galaxy Note10"/>
    <x v="0"/>
    <n v="6548"/>
    <n v="54168172.520000003"/>
    <n v="2.64"/>
    <n v="63.01"/>
    <n v="17.850000000000001"/>
    <n v="279.58"/>
    <n v="73.97"/>
    <s v="Europe"/>
  </r>
  <r>
    <n v="2021"/>
    <x v="0"/>
    <s v="Galaxy S20"/>
    <x v="0"/>
    <n v="36129"/>
    <n v="28657040.440000001"/>
    <n v="0.49"/>
    <n v="60.6"/>
    <n v="1.5699999999999901"/>
    <n v="209.38"/>
    <n v="62.41"/>
    <s v="Middle East &amp; Africa"/>
  </r>
  <r>
    <n v="2021"/>
    <x v="0"/>
    <s v="Galaxy Note20"/>
    <x v="0"/>
    <n v="36476"/>
    <n v="9769649.4360000007"/>
    <n v="0.39999999999999902"/>
    <n v="67.05"/>
    <n v="29.96"/>
    <n v="138.12"/>
    <n v="52.54"/>
    <s v="Europe"/>
  </r>
  <r>
    <n v="2021"/>
    <x v="0"/>
    <s v="Galaxy S21"/>
    <x v="0"/>
    <n v="34090"/>
    <n v="7777936.3679999998"/>
    <n v="3.54"/>
    <n v="71.27"/>
    <n v="41.68"/>
    <n v="171.59"/>
    <n v="50.17"/>
    <s v="Middle East &amp; Africa"/>
  </r>
  <r>
    <n v="2021"/>
    <x v="0"/>
    <s v="Galaxy A32 5G"/>
    <x v="1"/>
    <n v="30278"/>
    <n v="12377641.48"/>
    <n v="3.86"/>
    <n v="40.51"/>
    <n v="51.79"/>
    <n v="184.8"/>
    <n v="61.75"/>
    <s v="Middle East &amp; Africa"/>
  </r>
  <r>
    <n v="2021"/>
    <x v="0"/>
    <s v="Galaxy A52 5G"/>
    <x v="1"/>
    <n v="57898"/>
    <n v="19848318.309999999"/>
    <n v="4.43"/>
    <n v="45.27"/>
    <n v="23.12"/>
    <n v="277.64999999999998"/>
    <n v="55.07"/>
    <s v="Latin America"/>
  </r>
  <r>
    <n v="2021"/>
    <x v="0"/>
    <s v="Galaxy A73 5G"/>
    <x v="1"/>
    <n v="44847"/>
    <n v="14310727.310000001"/>
    <n v="5.07"/>
    <n v="66.56"/>
    <n v="16.829999999999998"/>
    <n v="97.53"/>
    <n v="53.5"/>
    <s v="Europe"/>
  </r>
  <r>
    <n v="2021"/>
    <x v="0"/>
    <s v="Galaxy Z Fold2 5G"/>
    <x v="1"/>
    <n v="6557"/>
    <n v="41433407.509999998"/>
    <n v="2.69"/>
    <n v="94.68"/>
    <n v="54.35"/>
    <n v="127.45"/>
    <n v="85.11"/>
    <s v="Asia-Pacific"/>
  </r>
  <r>
    <n v="2021"/>
    <x v="0"/>
    <s v="Galaxy Z Flip3 5G"/>
    <x v="1"/>
    <n v="58334"/>
    <n v="67042799.399999999"/>
    <n v="6.02"/>
    <n v="90.08"/>
    <n v="10.35"/>
    <n v="102.66"/>
    <n v="60.11"/>
    <s v="Europe"/>
  </r>
  <r>
    <n v="2021"/>
    <x v="0"/>
    <s v="Galaxy S22 5G"/>
    <x v="1"/>
    <n v="42025"/>
    <n v="46339655.030000001"/>
    <n v="4.66"/>
    <n v="82.85"/>
    <n v="36.11"/>
    <n v="176.96"/>
    <n v="71.11"/>
    <s v="North America"/>
  </r>
  <r>
    <n v="2021"/>
    <x v="0"/>
    <s v="Galaxy Z Fold3 5G"/>
    <x v="1"/>
    <n v="8612"/>
    <n v="30287874.850000001"/>
    <n v="3.62"/>
    <n v="54.88"/>
    <n v="52.25"/>
    <n v="288.87"/>
    <n v="72.55"/>
    <s v="Asia-Pacific"/>
  </r>
  <r>
    <n v="2021"/>
    <x v="0"/>
    <s v="Galaxy A14 5G"/>
    <x v="1"/>
    <n v="33689"/>
    <n v="37582037.579999998"/>
    <n v="6.06"/>
    <n v="97.44"/>
    <n v="25.59"/>
    <n v="133.77000000000001"/>
    <n v="92.93"/>
    <s v="Europe"/>
  </r>
  <r>
    <n v="2021"/>
    <x v="0"/>
    <s v="Galaxy S23 5G"/>
    <x v="1"/>
    <n v="60093"/>
    <n v="79592293.1639999"/>
    <n v="3.24"/>
    <n v="68.56"/>
    <n v="48.17"/>
    <n v="130.83000000000001"/>
    <n v="75.69"/>
    <s v="Latin America"/>
  </r>
  <r>
    <n v="2021"/>
    <x v="0"/>
    <s v="Galaxy Z Flip5 5G"/>
    <x v="1"/>
    <n v="50612"/>
    <n v="24547804.329999998"/>
    <n v="4.38"/>
    <n v="76.13"/>
    <n v="16.43"/>
    <n v="58.21"/>
    <n v="60.85"/>
    <s v="Asia-Pacific"/>
  </r>
  <r>
    <n v="2021"/>
    <x v="1"/>
    <s v="Galaxy S10"/>
    <x v="0"/>
    <n v="33392"/>
    <n v="40200175.950000003"/>
    <n v="-0.14000000000000001"/>
    <n v="69.319999999999993"/>
    <n v="24.76"/>
    <n v="255.14"/>
    <n v="39.33"/>
    <s v="North America"/>
  </r>
  <r>
    <n v="2021"/>
    <x v="1"/>
    <s v="Galaxy Note10"/>
    <x v="0"/>
    <n v="20351"/>
    <n v="10720475.02"/>
    <n v="3.45"/>
    <n v="77.709999999999994"/>
    <n v="3.3"/>
    <n v="285.13"/>
    <n v="73.56"/>
    <s v="North America"/>
  </r>
  <r>
    <n v="2021"/>
    <x v="1"/>
    <s v="Galaxy S20"/>
    <x v="0"/>
    <n v="9689"/>
    <n v="18237818.16"/>
    <n v="-0.39"/>
    <n v="45.74"/>
    <n v="39.58"/>
    <n v="291.06"/>
    <n v="65.819999999999993"/>
    <s v="North America"/>
  </r>
  <r>
    <n v="2021"/>
    <x v="1"/>
    <s v="Galaxy Note20"/>
    <x v="0"/>
    <n v="19360"/>
    <n v="21067765.940000001"/>
    <n v="0.71"/>
    <n v="72.25"/>
    <n v="24.64"/>
    <n v="119.68"/>
    <n v="71.099999999999994"/>
    <s v="Latin America"/>
  </r>
  <r>
    <n v="2021"/>
    <x v="1"/>
    <s v="Galaxy S21"/>
    <x v="0"/>
    <n v="41937"/>
    <n v="10442280.66"/>
    <n v="-0.2"/>
    <n v="67"/>
    <n v="23.33"/>
    <n v="106.63"/>
    <n v="42.6"/>
    <s v="Asia-Pacific"/>
  </r>
  <r>
    <n v="2021"/>
    <x v="1"/>
    <s v="Galaxy A32 5G"/>
    <x v="1"/>
    <n v="26634"/>
    <n v="17977115.149999999"/>
    <n v="2.97"/>
    <n v="45.93"/>
    <n v="52.08"/>
    <n v="238.86"/>
    <n v="74.08"/>
    <s v="Middle East &amp; Africa"/>
  </r>
  <r>
    <n v="2021"/>
    <x v="1"/>
    <s v="Galaxy A52 5G"/>
    <x v="1"/>
    <n v="36653"/>
    <n v="38555751.189999998"/>
    <n v="4.34"/>
    <n v="88.65"/>
    <n v="27.12"/>
    <n v="280.3"/>
    <n v="66"/>
    <s v="Middle East &amp; Africa"/>
  </r>
  <r>
    <n v="2021"/>
    <x v="1"/>
    <s v="Galaxy A73 5G"/>
    <x v="1"/>
    <n v="61958"/>
    <n v="56094433.859999903"/>
    <n v="4.58"/>
    <n v="59.36"/>
    <n v="24.48"/>
    <n v="62.63"/>
    <n v="92.83"/>
    <s v="Asia-Pacific"/>
  </r>
  <r>
    <n v="2021"/>
    <x v="1"/>
    <s v="Galaxy Z Fold2 5G"/>
    <x v="1"/>
    <n v="6501"/>
    <n v="38321092.719999999"/>
    <n v="5.2799999999999896"/>
    <n v="74.459999999999994"/>
    <n v="32.11"/>
    <n v="93.6"/>
    <n v="93.25"/>
    <s v="Latin America"/>
  </r>
  <r>
    <n v="2021"/>
    <x v="1"/>
    <s v="Galaxy Z Flip3 5G"/>
    <x v="1"/>
    <n v="31267"/>
    <n v="31015491.109999999"/>
    <n v="3.11"/>
    <n v="75.22"/>
    <n v="36.29"/>
    <n v="75.66"/>
    <n v="48.08"/>
    <s v="Europe"/>
  </r>
  <r>
    <n v="2021"/>
    <x v="1"/>
    <s v="Galaxy S22 5G"/>
    <x v="1"/>
    <n v="27446"/>
    <n v="66537700.595999897"/>
    <n v="5.89"/>
    <n v="93.07"/>
    <n v="25.38"/>
    <n v="199.61"/>
    <n v="89.51"/>
    <s v="North America"/>
  </r>
  <r>
    <n v="2021"/>
    <x v="1"/>
    <s v="Galaxy Z Fold3 5G"/>
    <x v="1"/>
    <n v="60479"/>
    <n v="80946999.2519999"/>
    <n v="4.3599999999999897"/>
    <n v="41.23"/>
    <n v="45.34"/>
    <n v="215.46"/>
    <n v="49.82"/>
    <s v="Latin America"/>
  </r>
  <r>
    <n v="2021"/>
    <x v="1"/>
    <s v="Galaxy A14 5G"/>
    <x v="1"/>
    <n v="33576"/>
    <n v="15758344.550000001"/>
    <n v="6.65"/>
    <n v="73.37"/>
    <n v="14.85"/>
    <n v="69.650000000000006"/>
    <n v="58.52"/>
    <s v="Europe"/>
  </r>
  <r>
    <n v="2021"/>
    <x v="1"/>
    <s v="Galaxy S23 5G"/>
    <x v="1"/>
    <n v="53719"/>
    <n v="32766472.260000002"/>
    <n v="2.82"/>
    <n v="96.44"/>
    <n v="40.479999999999997"/>
    <n v="160.44999999999999"/>
    <n v="71.77"/>
    <s v="Latin America"/>
  </r>
  <r>
    <n v="2021"/>
    <x v="1"/>
    <s v="Galaxy Z Flip5 5G"/>
    <x v="1"/>
    <n v="34710"/>
    <n v="17998844.949999999"/>
    <n v="5.2799999999999896"/>
    <n v="61.27"/>
    <n v="11.75"/>
    <n v="237.56"/>
    <n v="76.8"/>
    <s v="Middle East &amp; Africa"/>
  </r>
  <r>
    <n v="2021"/>
    <x v="2"/>
    <s v="Galaxy S10"/>
    <x v="0"/>
    <n v="39031"/>
    <n v="18608941.010000002"/>
    <n v="3.81"/>
    <n v="33.54"/>
    <n v="15.3"/>
    <n v="107.98"/>
    <n v="58.3"/>
    <s v="Asia-Pacific"/>
  </r>
  <r>
    <n v="2021"/>
    <x v="2"/>
    <s v="Galaxy Note10"/>
    <x v="0"/>
    <n v="34903"/>
    <n v="18518248.489999998"/>
    <n v="2.0499999999999998"/>
    <n v="53.32"/>
    <n v="5.41"/>
    <n v="217.97"/>
    <n v="54.81"/>
    <s v="Europe"/>
  </r>
  <r>
    <n v="2021"/>
    <x v="2"/>
    <s v="Galaxy S20"/>
    <x v="0"/>
    <n v="35996"/>
    <n v="23537405.350000001"/>
    <n v="3.53"/>
    <n v="37.57"/>
    <n v="31.68"/>
    <n v="291.12"/>
    <n v="85.21"/>
    <s v="Latin America"/>
  </r>
  <r>
    <n v="2021"/>
    <x v="2"/>
    <s v="Galaxy Note20"/>
    <x v="0"/>
    <n v="42820"/>
    <n v="29532856.460000001"/>
    <n v="-0.47"/>
    <n v="68.239999999999995"/>
    <n v="19.11"/>
    <n v="188.16"/>
    <n v="46.5"/>
    <s v="Latin America"/>
  </r>
  <r>
    <n v="2021"/>
    <x v="2"/>
    <s v="Galaxy S21"/>
    <x v="0"/>
    <n v="28881"/>
    <n v="21441364.649999999"/>
    <n v="0.65999999999999903"/>
    <n v="41.69"/>
    <n v="44.53"/>
    <n v="269.38"/>
    <n v="59.06"/>
    <s v="Middle East &amp; Africa"/>
  </r>
  <r>
    <n v="2021"/>
    <x v="2"/>
    <s v="Galaxy A32 5G"/>
    <x v="1"/>
    <n v="55419"/>
    <n v="10737537.960000001"/>
    <n v="2.59"/>
    <n v="68.8"/>
    <n v="35.979999999999997"/>
    <n v="196.85"/>
    <n v="72.959999999999994"/>
    <s v="Middle East &amp; Africa"/>
  </r>
  <r>
    <n v="2021"/>
    <x v="2"/>
    <s v="Galaxy A52 5G"/>
    <x v="1"/>
    <n v="7872"/>
    <n v="5221237.3320000004"/>
    <n v="4.1099999999999897"/>
    <n v="54.57"/>
    <n v="44.85"/>
    <n v="202.32"/>
    <n v="88.65"/>
    <s v="Europe"/>
  </r>
  <r>
    <n v="2021"/>
    <x v="2"/>
    <s v="Galaxy A73 5G"/>
    <x v="1"/>
    <n v="24758"/>
    <n v="51101597.950000003"/>
    <n v="4.72"/>
    <n v="98.62"/>
    <n v="35.629999999999903"/>
    <n v="259.73"/>
    <n v="81.14"/>
    <s v="Middle East &amp; Africa"/>
  </r>
  <r>
    <n v="2021"/>
    <x v="2"/>
    <s v="Galaxy Z Fold2 5G"/>
    <x v="1"/>
    <n v="50384"/>
    <n v="16798329.649999999"/>
    <n v="4.3599999999999897"/>
    <n v="89.43"/>
    <n v="51.51"/>
    <n v="132.01"/>
    <n v="80.989999999999995"/>
    <s v="Asia-Pacific"/>
  </r>
  <r>
    <n v="2021"/>
    <x v="2"/>
    <s v="Galaxy Z Flip3 5G"/>
    <x v="1"/>
    <n v="8281"/>
    <n v="15827206.449999999"/>
    <n v="2.87"/>
    <n v="97.24"/>
    <n v="49.02"/>
    <n v="297.81"/>
    <n v="77.33"/>
    <s v="North America"/>
  </r>
  <r>
    <n v="2021"/>
    <x v="2"/>
    <s v="Galaxy S22 5G"/>
    <x v="1"/>
    <n v="54330"/>
    <n v="37269680.390000001"/>
    <n v="6.02"/>
    <n v="48.4"/>
    <n v="15.34"/>
    <n v="212.64"/>
    <n v="88.87"/>
    <s v="Middle East &amp; Africa"/>
  </r>
  <r>
    <n v="2021"/>
    <x v="2"/>
    <s v="Galaxy Z Fold3 5G"/>
    <x v="1"/>
    <n v="32683"/>
    <n v="17951923.895999901"/>
    <n v="4.8599999999999897"/>
    <n v="53.85"/>
    <n v="21.86"/>
    <n v="99.2"/>
    <n v="71.55"/>
    <s v="Europe"/>
  </r>
  <r>
    <n v="2021"/>
    <x v="2"/>
    <s v="Galaxy A14 5G"/>
    <x v="1"/>
    <n v="58052"/>
    <n v="45303231.340000004"/>
    <n v="5.93"/>
    <n v="82.65"/>
    <n v="33.54"/>
    <n v="271.18"/>
    <n v="90.26"/>
    <s v="Asia-Pacific"/>
  </r>
  <r>
    <n v="2021"/>
    <x v="2"/>
    <s v="Galaxy S23 5G"/>
    <x v="1"/>
    <n v="28022"/>
    <n v="33044277.48"/>
    <n v="3.7"/>
    <n v="91.77"/>
    <n v="8.11"/>
    <n v="274.8"/>
    <n v="87"/>
    <s v="Europe"/>
  </r>
  <r>
    <n v="2021"/>
    <x v="2"/>
    <s v="Galaxy Z Flip5 5G"/>
    <x v="1"/>
    <n v="55987"/>
    <n v="5330566.68"/>
    <n v="2.81"/>
    <n v="47.52"/>
    <n v="46.97"/>
    <n v="166.12"/>
    <n v="82.49"/>
    <s v="Asia-Pacific"/>
  </r>
  <r>
    <n v="2021"/>
    <x v="3"/>
    <s v="Galaxy S10"/>
    <x v="0"/>
    <n v="5309"/>
    <n v="30375439.559999999"/>
    <n v="-0.17"/>
    <n v="38.35"/>
    <n v="33.49"/>
    <n v="297.3"/>
    <n v="66.819999999999993"/>
    <s v="Asia-Pacific"/>
  </r>
  <r>
    <n v="2021"/>
    <x v="3"/>
    <s v="Galaxy Note10"/>
    <x v="0"/>
    <n v="39415"/>
    <n v="15774523.4"/>
    <n v="3.44"/>
    <n v="72.400000000000006"/>
    <n v="38.090000000000003"/>
    <n v="242.8"/>
    <n v="86.48"/>
    <s v="North America"/>
  </r>
  <r>
    <n v="2021"/>
    <x v="3"/>
    <s v="Galaxy S20"/>
    <x v="0"/>
    <n v="7734"/>
    <n v="10384187.42"/>
    <n v="2.4300000000000002"/>
    <n v="37.340000000000003"/>
    <n v="20.93"/>
    <n v="122.97"/>
    <n v="82.42"/>
    <s v="Latin America"/>
  </r>
  <r>
    <n v="2021"/>
    <x v="3"/>
    <s v="Galaxy Note20"/>
    <x v="0"/>
    <n v="40180"/>
    <n v="8451472.2209999897"/>
    <n v="3.22"/>
    <n v="52.55"/>
    <n v="44.45"/>
    <n v="97.8"/>
    <n v="53.34"/>
    <s v="Europe"/>
  </r>
  <r>
    <n v="2021"/>
    <x v="3"/>
    <s v="Galaxy S21"/>
    <x v="0"/>
    <n v="39509"/>
    <n v="57709591.710000001"/>
    <n v="0.439999999999999"/>
    <n v="52.43"/>
    <n v="9.26"/>
    <n v="214.47"/>
    <n v="84.68"/>
    <s v="Middle East &amp; Africa"/>
  </r>
  <r>
    <n v="2021"/>
    <x v="3"/>
    <s v="Galaxy A32 5G"/>
    <x v="1"/>
    <n v="7653"/>
    <n v="25848407.75"/>
    <n v="6.33"/>
    <n v="66.02"/>
    <n v="9.81"/>
    <n v="183.48"/>
    <n v="54.28"/>
    <s v="Middle East &amp; Africa"/>
  </r>
  <r>
    <n v="2021"/>
    <x v="3"/>
    <s v="Galaxy A52 5G"/>
    <x v="1"/>
    <n v="10112"/>
    <n v="41338291.909999996"/>
    <n v="3.44"/>
    <n v="40.869999999999997"/>
    <n v="37.22"/>
    <n v="93.6"/>
    <n v="72.67"/>
    <s v="Asia-Pacific"/>
  </r>
  <r>
    <n v="2021"/>
    <x v="3"/>
    <s v="Galaxy A73 5G"/>
    <x v="1"/>
    <n v="63494"/>
    <n v="10304716.720000001"/>
    <n v="3.98"/>
    <n v="74.63"/>
    <n v="53.48"/>
    <n v="296.12"/>
    <n v="93.14"/>
    <s v="North America"/>
  </r>
  <r>
    <n v="2021"/>
    <x v="3"/>
    <s v="Galaxy Z Fold2 5G"/>
    <x v="1"/>
    <n v="40197"/>
    <n v="47733241.810000002"/>
    <n v="4.21"/>
    <n v="63.71"/>
    <n v="37.93"/>
    <n v="70.52"/>
    <n v="74.59"/>
    <s v="Europe"/>
  </r>
  <r>
    <n v="2021"/>
    <x v="3"/>
    <s v="Galaxy Z Flip3 5G"/>
    <x v="1"/>
    <n v="28000"/>
    <n v="39976458.880000003"/>
    <n v="6.67"/>
    <n v="56.79"/>
    <n v="11.35"/>
    <n v="240.77"/>
    <n v="51.48"/>
    <s v="Asia-Pacific"/>
  </r>
  <r>
    <n v="2021"/>
    <x v="3"/>
    <s v="Galaxy S22 5G"/>
    <x v="1"/>
    <n v="30537"/>
    <n v="33782555.279999897"/>
    <n v="6.26"/>
    <n v="48.75"/>
    <n v="15.75"/>
    <n v="162.28"/>
    <n v="64.739999999999995"/>
    <s v="Latin America"/>
  </r>
  <r>
    <n v="2021"/>
    <x v="3"/>
    <s v="Galaxy Z Fold3 5G"/>
    <x v="1"/>
    <n v="16890"/>
    <n v="10789418.339999899"/>
    <n v="3.36"/>
    <n v="73.7"/>
    <n v="27.02"/>
    <n v="202.39"/>
    <n v="52.08"/>
    <s v="Europe"/>
  </r>
  <r>
    <n v="2021"/>
    <x v="3"/>
    <s v="Galaxy A14 5G"/>
    <x v="1"/>
    <n v="50895"/>
    <n v="58673135.229999997"/>
    <n v="5.33"/>
    <n v="57.73"/>
    <n v="31.67"/>
    <n v="226.07"/>
    <n v="94.36"/>
    <s v="Asia-Pacific"/>
  </r>
  <r>
    <n v="2021"/>
    <x v="3"/>
    <s v="Galaxy S23 5G"/>
    <x v="1"/>
    <n v="14293"/>
    <n v="84264943.840000004"/>
    <n v="3.84"/>
    <n v="95.98"/>
    <n v="19.39"/>
    <n v="139.82"/>
    <n v="81.790000000000006"/>
    <s v="Asia-Pacific"/>
  </r>
  <r>
    <n v="2021"/>
    <x v="3"/>
    <s v="Galaxy Z Flip5 5G"/>
    <x v="1"/>
    <n v="18172"/>
    <n v="7206944.6519999998"/>
    <n v="5.16"/>
    <n v="68.44"/>
    <n v="22.27"/>
    <n v="184.61"/>
    <n v="68.86"/>
    <s v="Europe"/>
  </r>
  <r>
    <n v="2022"/>
    <x v="0"/>
    <s v="Galaxy S10"/>
    <x v="0"/>
    <n v="23678"/>
    <n v="23302026.23"/>
    <n v="0.57999999999999996"/>
    <n v="45.61"/>
    <n v="43.79"/>
    <n v="156.56"/>
    <n v="72.06"/>
    <s v="Europe"/>
  </r>
  <r>
    <n v="2022"/>
    <x v="0"/>
    <s v="Galaxy Note10"/>
    <x v="0"/>
    <n v="24682"/>
    <n v="30388420.881000001"/>
    <n v="3.89"/>
    <n v="65.349999999999994"/>
    <n v="41.22"/>
    <n v="202.74"/>
    <n v="65.05"/>
    <s v="Latin America"/>
  </r>
  <r>
    <n v="2022"/>
    <x v="0"/>
    <s v="Galaxy S20"/>
    <x v="0"/>
    <n v="49869"/>
    <n v="25015561.710000001"/>
    <n v="-0.1"/>
    <n v="66.77"/>
    <n v="25.65"/>
    <n v="137.77000000000001"/>
    <n v="75.23"/>
    <s v="North America"/>
  </r>
  <r>
    <n v="2022"/>
    <x v="0"/>
    <s v="Galaxy Note20"/>
    <x v="0"/>
    <n v="5718"/>
    <n v="47611430.590000004"/>
    <n v="3.4"/>
    <n v="60.4"/>
    <n v="15.37"/>
    <n v="128.61000000000001"/>
    <n v="41.67"/>
    <s v="North America"/>
  </r>
  <r>
    <n v="2022"/>
    <x v="0"/>
    <s v="Galaxy S21"/>
    <x v="0"/>
    <n v="35233"/>
    <n v="10414206.279999999"/>
    <n v="2.0099999999999998"/>
    <n v="84.7"/>
    <n v="12.7"/>
    <n v="92.35"/>
    <n v="51.97"/>
    <s v="North America"/>
  </r>
  <r>
    <n v="2022"/>
    <x v="0"/>
    <s v="Galaxy A32 5G"/>
    <x v="1"/>
    <n v="41857"/>
    <n v="71129083.790000007"/>
    <n v="4.8599999999999897"/>
    <n v="73.91"/>
    <n v="45.53"/>
    <n v="173.38"/>
    <n v="53.59"/>
    <s v="Europe"/>
  </r>
  <r>
    <n v="2022"/>
    <x v="0"/>
    <s v="Galaxy A52 5G"/>
    <x v="1"/>
    <n v="33814"/>
    <n v="62983632.700000003"/>
    <n v="4.5599999999999996"/>
    <n v="57.41"/>
    <n v="21.53"/>
    <n v="170.67"/>
    <n v="72.61"/>
    <s v="Europe"/>
  </r>
  <r>
    <n v="2022"/>
    <x v="0"/>
    <s v="Galaxy A73 5G"/>
    <x v="1"/>
    <n v="35418"/>
    <n v="14482116.279999999"/>
    <n v="4.01"/>
    <n v="91.45"/>
    <n v="6.56"/>
    <n v="157.75"/>
    <n v="57.04"/>
    <s v="Europe"/>
  </r>
  <r>
    <n v="2022"/>
    <x v="0"/>
    <s v="Galaxy Z Fold2 5G"/>
    <x v="1"/>
    <n v="39933"/>
    <n v="18632947.100000001"/>
    <n v="2.56"/>
    <n v="91.48"/>
    <n v="41.08"/>
    <n v="272.72000000000003"/>
    <n v="57.82"/>
    <s v="Europe"/>
  </r>
  <r>
    <n v="2022"/>
    <x v="0"/>
    <s v="Galaxy Z Flip3 5G"/>
    <x v="1"/>
    <n v="6800"/>
    <n v="6213699.6119999997"/>
    <n v="6.1"/>
    <n v="52.04"/>
    <n v="54.21"/>
    <n v="81.93"/>
    <n v="52.88"/>
    <s v="Middle East &amp; Africa"/>
  </r>
  <r>
    <n v="2022"/>
    <x v="0"/>
    <s v="Galaxy S22 5G"/>
    <x v="1"/>
    <n v="6787"/>
    <n v="52571041.670000002"/>
    <n v="4.93"/>
    <n v="103.73"/>
    <n v="29.49"/>
    <n v="274.81"/>
    <n v="47.7"/>
    <s v="Latin America"/>
  </r>
  <r>
    <n v="2022"/>
    <x v="0"/>
    <s v="Galaxy Z Fold3 5G"/>
    <x v="1"/>
    <n v="34677"/>
    <n v="15661456.58"/>
    <n v="6.11"/>
    <n v="101.07"/>
    <n v="48.06"/>
    <n v="165.76"/>
    <n v="55.31"/>
    <s v="Latin America"/>
  </r>
  <r>
    <n v="2022"/>
    <x v="0"/>
    <s v="Galaxy A14 5G"/>
    <x v="1"/>
    <n v="27735"/>
    <n v="60038350.75"/>
    <n v="6.4"/>
    <n v="42.86"/>
    <n v="50.44"/>
    <n v="118.36"/>
    <n v="80.72"/>
    <s v="North America"/>
  </r>
  <r>
    <n v="2022"/>
    <x v="0"/>
    <s v="Galaxy S23 5G"/>
    <x v="1"/>
    <n v="51810"/>
    <n v="14517045.839999899"/>
    <n v="5.73"/>
    <n v="51.7"/>
    <n v="7.3599999999999897"/>
    <n v="174.15"/>
    <n v="73.56"/>
    <s v="Asia-Pacific"/>
  </r>
  <r>
    <n v="2022"/>
    <x v="0"/>
    <s v="Galaxy Z Flip5 5G"/>
    <x v="1"/>
    <n v="46166"/>
    <n v="19455487.420000002"/>
    <n v="4.54"/>
    <n v="59.94"/>
    <n v="13.25"/>
    <n v="195.16"/>
    <n v="74.459999999999994"/>
    <s v="Latin America"/>
  </r>
  <r>
    <n v="2022"/>
    <x v="1"/>
    <s v="Galaxy S10"/>
    <x v="0"/>
    <n v="47075"/>
    <n v="9011313.3599999994"/>
    <n v="3.15"/>
    <n v="87.8"/>
    <n v="23.96"/>
    <n v="79.959999999999994"/>
    <n v="66.239999999999995"/>
    <s v="Latin America"/>
  </r>
  <r>
    <n v="2022"/>
    <x v="1"/>
    <s v="Galaxy Note10"/>
    <x v="0"/>
    <n v="5465"/>
    <n v="14185149.880000001"/>
    <n v="1.97"/>
    <n v="73.540000000000006"/>
    <n v="45.99"/>
    <n v="292.18"/>
    <n v="37.14"/>
    <s v="North America"/>
  </r>
  <r>
    <n v="2022"/>
    <x v="1"/>
    <s v="Galaxy S20"/>
    <x v="0"/>
    <n v="22036"/>
    <n v="14156370.640000001"/>
    <n v="2.12"/>
    <n v="60.31"/>
    <n v="-0.89"/>
    <n v="298.7"/>
    <n v="43.46"/>
    <s v="Asia-Pacific"/>
  </r>
  <r>
    <n v="2022"/>
    <x v="1"/>
    <s v="Galaxy Note20"/>
    <x v="0"/>
    <n v="31388"/>
    <n v="15148576.49"/>
    <n v="3.44"/>
    <n v="67"/>
    <n v="45.8"/>
    <n v="92.32"/>
    <n v="39.57"/>
    <s v="Europe"/>
  </r>
  <r>
    <n v="2022"/>
    <x v="1"/>
    <s v="Galaxy S21"/>
    <x v="0"/>
    <n v="33806"/>
    <n v="23699378.708999999"/>
    <n v="-0.23"/>
    <n v="77.31"/>
    <n v="47.51"/>
    <n v="129.69999999999999"/>
    <n v="78.41"/>
    <s v="North America"/>
  </r>
  <r>
    <n v="2022"/>
    <x v="1"/>
    <s v="Galaxy A32 5G"/>
    <x v="1"/>
    <n v="46798"/>
    <n v="34010964.590000004"/>
    <n v="2.84"/>
    <n v="95.15"/>
    <n v="47.23"/>
    <n v="287.88"/>
    <n v="87.65"/>
    <s v="Middle East &amp; Africa"/>
  </r>
  <r>
    <n v="2022"/>
    <x v="1"/>
    <s v="Galaxy A52 5G"/>
    <x v="1"/>
    <n v="15007"/>
    <n v="56176071.659999996"/>
    <n v="6.81"/>
    <n v="83.96"/>
    <n v="44.71"/>
    <n v="258.98"/>
    <n v="59.6"/>
    <s v="Latin America"/>
  </r>
  <r>
    <n v="2022"/>
    <x v="1"/>
    <s v="Galaxy A73 5G"/>
    <x v="1"/>
    <n v="10585"/>
    <n v="29685804.23"/>
    <n v="3.51"/>
    <n v="93.42"/>
    <n v="38.630000000000003"/>
    <n v="171.64"/>
    <n v="87.93"/>
    <s v="Europe"/>
  </r>
  <r>
    <n v="2022"/>
    <x v="1"/>
    <s v="Galaxy Z Fold2 5G"/>
    <x v="1"/>
    <n v="10415"/>
    <n v="16056993.77"/>
    <n v="2.85"/>
    <n v="87.84"/>
    <n v="42.48"/>
    <n v="160.24"/>
    <n v="51.79"/>
    <s v="Asia-Pacific"/>
  </r>
  <r>
    <n v="2022"/>
    <x v="1"/>
    <s v="Galaxy Z Flip3 5G"/>
    <x v="1"/>
    <n v="54159"/>
    <n v="43416974.450000003"/>
    <n v="5.91"/>
    <n v="101.8"/>
    <n v="45.27"/>
    <n v="232.71"/>
    <n v="51.01"/>
    <s v="Latin America"/>
  </r>
  <r>
    <n v="2022"/>
    <x v="1"/>
    <s v="Galaxy S22 5G"/>
    <x v="1"/>
    <n v="17217"/>
    <n v="31929959.75"/>
    <n v="3.68"/>
    <n v="41.36"/>
    <n v="32"/>
    <n v="291.72000000000003"/>
    <n v="45.78"/>
    <s v="Middle East &amp; Africa"/>
  </r>
  <r>
    <n v="2022"/>
    <x v="1"/>
    <s v="Galaxy Z Fold3 5G"/>
    <x v="1"/>
    <n v="53719"/>
    <n v="15328592.42"/>
    <n v="3.88"/>
    <n v="79.25"/>
    <n v="36.07"/>
    <n v="286.49"/>
    <n v="48.06"/>
    <s v="North America"/>
  </r>
  <r>
    <n v="2022"/>
    <x v="1"/>
    <s v="Galaxy A14 5G"/>
    <x v="1"/>
    <n v="58156"/>
    <n v="45419753.700000003"/>
    <n v="4.2799999999999896"/>
    <n v="88.11"/>
    <n v="44.95"/>
    <n v="232.59"/>
    <n v="86.74"/>
    <s v="Middle East &amp; Africa"/>
  </r>
  <r>
    <n v="2022"/>
    <x v="1"/>
    <s v="Galaxy S23 5G"/>
    <x v="1"/>
    <n v="33117"/>
    <n v="5432435.60399999"/>
    <n v="6.58"/>
    <n v="83.47"/>
    <n v="38.520000000000003"/>
    <n v="282.72000000000003"/>
    <n v="86.09"/>
    <s v="Asia-Pacific"/>
  </r>
  <r>
    <n v="2022"/>
    <x v="1"/>
    <s v="Galaxy Z Flip5 5G"/>
    <x v="1"/>
    <n v="24948"/>
    <n v="7564107.5760000004"/>
    <n v="3.51"/>
    <n v="89.68"/>
    <n v="53.4"/>
    <n v="284.12"/>
    <n v="72.56"/>
    <s v="Latin America"/>
  </r>
  <r>
    <n v="2022"/>
    <x v="2"/>
    <s v="Galaxy S10"/>
    <x v="0"/>
    <n v="10671"/>
    <n v="9842035.3650000002"/>
    <n v="0.25"/>
    <n v="50.83"/>
    <n v="26.94"/>
    <n v="249.36"/>
    <n v="77.13"/>
    <s v="Asia-Pacific"/>
  </r>
  <r>
    <n v="2022"/>
    <x v="2"/>
    <s v="Galaxy Note10"/>
    <x v="0"/>
    <n v="27006"/>
    <n v="5136019.5420000004"/>
    <n v="0.36"/>
    <n v="70.180000000000007"/>
    <n v="-0.05"/>
    <n v="179.88"/>
    <n v="63.62"/>
    <s v="Middle East &amp; Africa"/>
  </r>
  <r>
    <n v="2022"/>
    <x v="2"/>
    <s v="Galaxy S20"/>
    <x v="0"/>
    <n v="35658"/>
    <n v="14607494.42"/>
    <n v="1.18"/>
    <n v="33.54"/>
    <n v="9.9600000000000009"/>
    <n v="232.38"/>
    <n v="66.959999999999994"/>
    <s v="Asia-Pacific"/>
  </r>
  <r>
    <n v="2022"/>
    <x v="2"/>
    <s v="Galaxy Note20"/>
    <x v="0"/>
    <n v="8330"/>
    <n v="26191927.649999999"/>
    <n v="4"/>
    <n v="73.87"/>
    <n v="24.35"/>
    <n v="169.49"/>
    <n v="53.29"/>
    <s v="North America"/>
  </r>
  <r>
    <n v="2022"/>
    <x v="2"/>
    <s v="Galaxy S21"/>
    <x v="0"/>
    <n v="32243"/>
    <n v="28519800.440000001"/>
    <n v="0.12999999999999901"/>
    <n v="27.27"/>
    <n v="22.56"/>
    <n v="82.24"/>
    <n v="53.9"/>
    <s v="North America"/>
  </r>
  <r>
    <n v="2022"/>
    <x v="2"/>
    <s v="Galaxy A32 5G"/>
    <x v="1"/>
    <n v="49871"/>
    <n v="8902985.2439999897"/>
    <n v="6.82"/>
    <n v="48.95"/>
    <n v="18.68"/>
    <n v="240.7"/>
    <n v="53.91"/>
    <s v="North America"/>
  </r>
  <r>
    <n v="2022"/>
    <x v="2"/>
    <s v="Galaxy A52 5G"/>
    <x v="1"/>
    <n v="39287"/>
    <n v="21438284.870000001"/>
    <n v="4.97"/>
    <n v="70.25"/>
    <n v="52.39"/>
    <n v="215.78"/>
    <n v="74.819999999999993"/>
    <s v="North America"/>
  </r>
  <r>
    <n v="2022"/>
    <x v="2"/>
    <s v="Galaxy A73 5G"/>
    <x v="1"/>
    <n v="43668"/>
    <n v="32615703.949999999"/>
    <n v="3.64"/>
    <n v="41.86"/>
    <n v="25.87"/>
    <n v="164.53"/>
    <n v="62.1"/>
    <s v="Middle East &amp; Africa"/>
  </r>
  <r>
    <n v="2022"/>
    <x v="2"/>
    <s v="Galaxy Z Fold2 5G"/>
    <x v="1"/>
    <n v="64883"/>
    <n v="70601769.767999902"/>
    <n v="4.5999999999999996"/>
    <n v="61.16"/>
    <n v="31.32"/>
    <n v="154.51"/>
    <n v="92.8"/>
    <s v="Latin America"/>
  </r>
  <r>
    <n v="2022"/>
    <x v="2"/>
    <s v="Galaxy Z Flip3 5G"/>
    <x v="1"/>
    <n v="29698"/>
    <n v="9547956.3839999996"/>
    <n v="3.14"/>
    <n v="93.12"/>
    <n v="34.76"/>
    <n v="246.75"/>
    <n v="65.459999999999994"/>
    <s v="Middle East &amp; Africa"/>
  </r>
  <r>
    <n v="2022"/>
    <x v="2"/>
    <s v="Galaxy S22 5G"/>
    <x v="1"/>
    <n v="16005"/>
    <n v="41833223.630000003"/>
    <n v="6.71"/>
    <n v="88.73"/>
    <n v="39.93"/>
    <n v="281.7"/>
    <n v="86.82"/>
    <s v="Middle East &amp; Africa"/>
  </r>
  <r>
    <n v="2022"/>
    <x v="2"/>
    <s v="Galaxy Z Fold3 5G"/>
    <x v="1"/>
    <n v="55071"/>
    <n v="52340365.75"/>
    <n v="3.6"/>
    <n v="55.45"/>
    <n v="51.49"/>
    <n v="279.27"/>
    <n v="73.87"/>
    <s v="Europe"/>
  </r>
  <r>
    <n v="2022"/>
    <x v="2"/>
    <s v="Galaxy A14 5G"/>
    <x v="1"/>
    <n v="55853"/>
    <n v="6813706.7280000001"/>
    <n v="4.88"/>
    <n v="62.85"/>
    <n v="33.76"/>
    <n v="63.15"/>
    <n v="69.849999999999994"/>
    <s v="North America"/>
  </r>
  <r>
    <n v="2022"/>
    <x v="2"/>
    <s v="Galaxy S23 5G"/>
    <x v="1"/>
    <n v="47291"/>
    <n v="19328484.68"/>
    <n v="6.51"/>
    <n v="102.8"/>
    <n v="36.28"/>
    <n v="222.44"/>
    <n v="74.489999999999995"/>
    <s v="Asia-Pacific"/>
  </r>
  <r>
    <n v="2022"/>
    <x v="2"/>
    <s v="Galaxy Z Flip5 5G"/>
    <x v="1"/>
    <n v="30901"/>
    <n v="11882936.57"/>
    <n v="3.47"/>
    <n v="95.55"/>
    <n v="15.87"/>
    <n v="182.47"/>
    <n v="50.98"/>
    <s v="Asia-Pacific"/>
  </r>
  <r>
    <n v="2022"/>
    <x v="3"/>
    <s v="Galaxy S10"/>
    <x v="0"/>
    <n v="8330"/>
    <n v="4252116.8880000003"/>
    <n v="2.0099999999999998"/>
    <n v="89.2"/>
    <n v="17.57"/>
    <n v="213.49"/>
    <n v="61.069999999999901"/>
    <s v="North America"/>
  </r>
  <r>
    <n v="2022"/>
    <x v="3"/>
    <s v="Galaxy Note10"/>
    <x v="0"/>
    <n v="16902"/>
    <n v="45919818.68"/>
    <n v="-0.25"/>
    <n v="68.67"/>
    <n v="2.5299999999999998"/>
    <n v="66.34"/>
    <n v="47.23"/>
    <s v="Asia-Pacific"/>
  </r>
  <r>
    <n v="2022"/>
    <x v="3"/>
    <s v="Galaxy S20"/>
    <x v="0"/>
    <n v="10352"/>
    <n v="10351376.890000001"/>
    <n v="3.16"/>
    <n v="68.23"/>
    <n v="24.33"/>
    <n v="137.24"/>
    <n v="49.71"/>
    <s v="Asia-Pacific"/>
  </r>
  <r>
    <n v="2022"/>
    <x v="3"/>
    <s v="Galaxy Note20"/>
    <x v="0"/>
    <n v="20904"/>
    <n v="41945284.640000001"/>
    <n v="-0.06"/>
    <n v="53.51"/>
    <n v="35.450000000000003"/>
    <n v="63.87"/>
    <n v="78.05"/>
    <s v="Asia-Pacific"/>
  </r>
  <r>
    <n v="2022"/>
    <x v="3"/>
    <s v="Galaxy S21"/>
    <x v="0"/>
    <n v="32799"/>
    <n v="30084811.850000001"/>
    <n v="0.7"/>
    <n v="89.07"/>
    <n v="45.08"/>
    <n v="253.23"/>
    <n v="61.38"/>
    <s v="Europe"/>
  </r>
  <r>
    <n v="2022"/>
    <x v="3"/>
    <s v="Galaxy A32 5G"/>
    <x v="1"/>
    <n v="17884"/>
    <n v="11319455.1"/>
    <n v="4.18"/>
    <n v="99.95"/>
    <n v="7.17"/>
    <n v="265.77999999999997"/>
    <n v="86.45"/>
    <s v="North America"/>
  </r>
  <r>
    <n v="2022"/>
    <x v="3"/>
    <s v="Galaxy A52 5G"/>
    <x v="1"/>
    <n v="40963"/>
    <n v="10902531.08"/>
    <n v="2.86"/>
    <n v="42.87"/>
    <n v="21.56"/>
    <n v="281.31"/>
    <n v="81.510000000000005"/>
    <s v="Middle East &amp; Africa"/>
  </r>
  <r>
    <n v="2022"/>
    <x v="3"/>
    <s v="Galaxy A73 5G"/>
    <x v="1"/>
    <n v="15691"/>
    <n v="21823040.170000002"/>
    <n v="3.07"/>
    <n v="42.69"/>
    <n v="42.69"/>
    <n v="135.63"/>
    <n v="72.27"/>
    <s v="North America"/>
  </r>
  <r>
    <n v="2022"/>
    <x v="3"/>
    <s v="Galaxy Z Fold2 5G"/>
    <x v="1"/>
    <n v="23653"/>
    <n v="24085328.149999999"/>
    <n v="5.64"/>
    <n v="87.55"/>
    <n v="41.3"/>
    <n v="170.64"/>
    <n v="46.15"/>
    <s v="Europe"/>
  </r>
  <r>
    <n v="2022"/>
    <x v="3"/>
    <s v="Galaxy Z Flip3 5G"/>
    <x v="1"/>
    <n v="56264"/>
    <n v="11515465.800000001"/>
    <n v="3.42"/>
    <n v="82.21"/>
    <n v="39.950000000000003"/>
    <n v="68.7"/>
    <n v="94.84"/>
    <s v="Europe"/>
  </r>
  <r>
    <n v="2022"/>
    <x v="3"/>
    <s v="Galaxy S22 5G"/>
    <x v="1"/>
    <n v="47629"/>
    <n v="40258147.689999998"/>
    <n v="2.59"/>
    <n v="62.4"/>
    <n v="46.2"/>
    <n v="174.55"/>
    <n v="88.86"/>
    <s v="Latin America"/>
  </r>
  <r>
    <n v="2022"/>
    <x v="3"/>
    <s v="Galaxy Z Fold3 5G"/>
    <x v="1"/>
    <n v="22829"/>
    <n v="33124655.16"/>
    <n v="6.4"/>
    <n v="70.69"/>
    <n v="26.25"/>
    <n v="125.31"/>
    <n v="93.2"/>
    <s v="North America"/>
  </r>
  <r>
    <n v="2022"/>
    <x v="3"/>
    <s v="Galaxy A14 5G"/>
    <x v="1"/>
    <n v="33785"/>
    <n v="47573854.619999997"/>
    <n v="5.64"/>
    <n v="92.95"/>
    <n v="33.129999999999903"/>
    <n v="109.94"/>
    <n v="93.28"/>
    <s v="Latin America"/>
  </r>
  <r>
    <n v="2022"/>
    <x v="3"/>
    <s v="Galaxy S23 5G"/>
    <x v="1"/>
    <n v="28676"/>
    <n v="33319538.640000001"/>
    <n v="5.17"/>
    <n v="80.3"/>
    <n v="30.76"/>
    <n v="213.39"/>
    <n v="76.2"/>
    <s v="Asia-Pacific"/>
  </r>
  <r>
    <n v="2022"/>
    <x v="3"/>
    <s v="Galaxy Z Flip5 5G"/>
    <x v="1"/>
    <n v="62215"/>
    <n v="44729535.659999996"/>
    <n v="3.04"/>
    <n v="93.8"/>
    <n v="38.79"/>
    <n v="253.73"/>
    <n v="45.63"/>
    <s v="Latin America"/>
  </r>
  <r>
    <n v="2023"/>
    <x v="0"/>
    <s v="Galaxy S10"/>
    <x v="0"/>
    <n v="40947"/>
    <n v="29431350.050000001"/>
    <n v="2.29"/>
    <n v="31.64"/>
    <n v="20.82"/>
    <n v="272.01"/>
    <n v="80.790000000000006"/>
    <s v="Europe"/>
  </r>
  <r>
    <n v="2023"/>
    <x v="0"/>
    <s v="Galaxy Note10"/>
    <x v="0"/>
    <n v="14664"/>
    <n v="15195950.99"/>
    <n v="1.66"/>
    <n v="62.66"/>
    <n v="1.47"/>
    <n v="171.98"/>
    <n v="74.11"/>
    <s v="North America"/>
  </r>
  <r>
    <n v="2023"/>
    <x v="0"/>
    <s v="Galaxy S20"/>
    <x v="0"/>
    <n v="43817"/>
    <n v="24176526.140000001"/>
    <n v="2.4500000000000002"/>
    <n v="48.62"/>
    <n v="20.28"/>
    <n v="175.27"/>
    <n v="73.89"/>
    <s v="Europe"/>
  </r>
  <r>
    <n v="2023"/>
    <x v="0"/>
    <s v="Galaxy Note20"/>
    <x v="0"/>
    <n v="41459"/>
    <n v="13687954.880000001"/>
    <n v="-0.11"/>
    <n v="62.18"/>
    <n v="11.77"/>
    <n v="287.5"/>
    <n v="41.54"/>
    <s v="Latin America"/>
  </r>
  <r>
    <n v="2023"/>
    <x v="0"/>
    <s v="Galaxy S21"/>
    <x v="0"/>
    <n v="32918"/>
    <n v="22481075.41"/>
    <n v="1.86"/>
    <n v="81.72"/>
    <n v="33.4"/>
    <n v="108.49"/>
    <n v="65.459999999999994"/>
    <s v="North America"/>
  </r>
  <r>
    <n v="2023"/>
    <x v="0"/>
    <s v="Galaxy A32 5G"/>
    <x v="1"/>
    <n v="42266"/>
    <n v="25950100.260000002"/>
    <n v="6.02"/>
    <n v="55.39"/>
    <n v="39.53"/>
    <n v="262.25"/>
    <n v="45.63"/>
    <s v="Asia-Pacific"/>
  </r>
  <r>
    <n v="2023"/>
    <x v="0"/>
    <s v="Galaxy A52 5G"/>
    <x v="1"/>
    <n v="35503"/>
    <n v="31844795.27"/>
    <n v="3.87"/>
    <n v="85.47"/>
    <n v="48.17"/>
    <n v="262.83999999999997"/>
    <n v="68"/>
    <s v="Asia-Pacific"/>
  </r>
  <r>
    <n v="2023"/>
    <x v="0"/>
    <s v="Galaxy A73 5G"/>
    <x v="1"/>
    <n v="47694"/>
    <n v="18903891.32"/>
    <n v="5.9"/>
    <n v="62.48"/>
    <n v="29.12"/>
    <n v="227.77"/>
    <n v="87.07"/>
    <s v="Europe"/>
  </r>
  <r>
    <n v="2023"/>
    <x v="0"/>
    <s v="Galaxy Z Fold2 5G"/>
    <x v="1"/>
    <n v="36500"/>
    <n v="11340925.859999999"/>
    <n v="2.86"/>
    <n v="98.22"/>
    <n v="46.72"/>
    <n v="177.9"/>
    <n v="65.83"/>
    <s v="Asia-Pacific"/>
  </r>
  <r>
    <n v="2023"/>
    <x v="0"/>
    <s v="Galaxy Z Flip3 5G"/>
    <x v="1"/>
    <n v="31535"/>
    <n v="75369161.280000001"/>
    <n v="4.8499999999999996"/>
    <n v="103.92"/>
    <n v="6.42"/>
    <n v="256.02999999999997"/>
    <n v="54.7"/>
    <s v="Asia-Pacific"/>
  </r>
  <r>
    <n v="2023"/>
    <x v="0"/>
    <s v="Galaxy S22 5G"/>
    <x v="1"/>
    <n v="25428"/>
    <n v="41184238.579999998"/>
    <n v="4.9000000000000004"/>
    <n v="78.09"/>
    <n v="24.18"/>
    <n v="262.01"/>
    <n v="54.8"/>
    <s v="North America"/>
  </r>
  <r>
    <n v="2023"/>
    <x v="0"/>
    <s v="Galaxy Z Fold3 5G"/>
    <x v="1"/>
    <n v="58459"/>
    <n v="6197608.4639999997"/>
    <n v="5.29"/>
    <n v="65.56"/>
    <n v="52.82"/>
    <n v="231.91"/>
    <n v="69.150000000000006"/>
    <s v="Middle East &amp; Africa"/>
  </r>
  <r>
    <n v="2023"/>
    <x v="0"/>
    <s v="Galaxy A14 5G"/>
    <x v="1"/>
    <n v="39916"/>
    <n v="30964782.02"/>
    <n v="5.5299999999999896"/>
    <n v="47.84"/>
    <n v="15.23"/>
    <n v="260.8"/>
    <n v="82.88"/>
    <s v="Middle East &amp; Africa"/>
  </r>
  <r>
    <n v="2023"/>
    <x v="0"/>
    <s v="Galaxy S23 5G"/>
    <x v="1"/>
    <n v="56785"/>
    <n v="37101918.729999997"/>
    <n v="4.21"/>
    <n v="67.62"/>
    <n v="43.79"/>
    <n v="240.21"/>
    <n v="75.959999999999994"/>
    <s v="Asia-Pacific"/>
  </r>
  <r>
    <n v="2023"/>
    <x v="0"/>
    <s v="Galaxy Z Flip5 5G"/>
    <x v="1"/>
    <n v="11658"/>
    <n v="14130688.68"/>
    <n v="4.8099999999999996"/>
    <n v="64.150000000000006"/>
    <n v="50.51"/>
    <n v="117.92"/>
    <n v="62.56"/>
    <s v="Europe"/>
  </r>
  <r>
    <n v="2023"/>
    <x v="1"/>
    <s v="Galaxy S10"/>
    <x v="0"/>
    <n v="28445"/>
    <n v="23846107.199999999"/>
    <n v="3.99"/>
    <n v="46.8"/>
    <n v="37.909999999999997"/>
    <n v="175.6"/>
    <n v="66.599999999999994"/>
    <s v="Europe"/>
  </r>
  <r>
    <n v="2023"/>
    <x v="1"/>
    <s v="Galaxy Note10"/>
    <x v="0"/>
    <n v="12074"/>
    <n v="10953765.789999999"/>
    <n v="1.67"/>
    <n v="65.23"/>
    <n v="47.14"/>
    <n v="106.03"/>
    <n v="70.52"/>
    <s v="Europe"/>
  </r>
  <r>
    <n v="2023"/>
    <x v="1"/>
    <s v="Galaxy S20"/>
    <x v="0"/>
    <n v="24787"/>
    <n v="11158722.59"/>
    <n v="2.93"/>
    <n v="73.150000000000006"/>
    <n v="29.28"/>
    <n v="138"/>
    <n v="68.94"/>
    <s v="Europe"/>
  </r>
  <r>
    <n v="2023"/>
    <x v="1"/>
    <s v="Galaxy Note20"/>
    <x v="0"/>
    <n v="40418"/>
    <n v="32030342.59"/>
    <n v="1.77999999999999"/>
    <n v="61.9"/>
    <n v="24.69"/>
    <n v="160.97999999999999"/>
    <n v="45.26"/>
    <s v="North America"/>
  </r>
  <r>
    <n v="2023"/>
    <x v="1"/>
    <s v="Galaxy S21"/>
    <x v="0"/>
    <n v="34655"/>
    <n v="5500615.1399999997"/>
    <n v="0"/>
    <n v="36.06"/>
    <n v="47.06"/>
    <n v="75.69"/>
    <n v="57.66"/>
    <s v="Middle East &amp; Africa"/>
  </r>
  <r>
    <n v="2023"/>
    <x v="1"/>
    <s v="Galaxy A32 5G"/>
    <x v="1"/>
    <n v="18720"/>
    <n v="45175723.359999999"/>
    <n v="6.09"/>
    <n v="77.17"/>
    <n v="13.16"/>
    <n v="95.71"/>
    <n v="54.69"/>
    <s v="Latin America"/>
  </r>
  <r>
    <n v="2023"/>
    <x v="1"/>
    <s v="Galaxy A52 5G"/>
    <x v="1"/>
    <n v="7111"/>
    <n v="38171299.740000002"/>
    <n v="4.9000000000000004"/>
    <n v="94.2"/>
    <n v="53.26"/>
    <n v="269.75"/>
    <n v="52.92"/>
    <s v="Asia-Pacific"/>
  </r>
  <r>
    <n v="2023"/>
    <x v="1"/>
    <s v="Galaxy A73 5G"/>
    <x v="1"/>
    <n v="22044"/>
    <n v="31012290.23"/>
    <n v="5.12"/>
    <n v="79.73"/>
    <n v="37.979999999999997"/>
    <n v="63.5"/>
    <n v="81.510000000000005"/>
    <s v="Latin America"/>
  </r>
  <r>
    <n v="2023"/>
    <x v="1"/>
    <s v="Galaxy Z Fold2 5G"/>
    <x v="1"/>
    <n v="14004"/>
    <n v="7989841.6199999899"/>
    <n v="3.37"/>
    <n v="86.05"/>
    <n v="18.510000000000002"/>
    <n v="249.43"/>
    <n v="45.62"/>
    <s v="North America"/>
  </r>
  <r>
    <n v="2023"/>
    <x v="1"/>
    <s v="Galaxy Z Flip3 5G"/>
    <x v="1"/>
    <n v="55851"/>
    <n v="19401460.379999999"/>
    <n v="5.04"/>
    <n v="98.87"/>
    <n v="14.29"/>
    <n v="187.41"/>
    <n v="45.43"/>
    <s v="Latin America"/>
  </r>
  <r>
    <n v="2023"/>
    <x v="1"/>
    <s v="Galaxy S22 5G"/>
    <x v="1"/>
    <n v="43275"/>
    <n v="7555516.4280000003"/>
    <n v="4.18"/>
    <n v="44.77"/>
    <n v="25.77"/>
    <n v="214.9"/>
    <n v="48.3"/>
    <s v="Latin America"/>
  </r>
  <r>
    <n v="2023"/>
    <x v="1"/>
    <s v="Galaxy Z Fold3 5G"/>
    <x v="1"/>
    <n v="14970"/>
    <n v="18515548.91"/>
    <n v="6.32"/>
    <n v="52.48"/>
    <n v="25"/>
    <n v="57.27"/>
    <n v="51.12"/>
    <s v="Latin America"/>
  </r>
  <r>
    <n v="2023"/>
    <x v="1"/>
    <s v="Galaxy A14 5G"/>
    <x v="1"/>
    <n v="37850"/>
    <n v="11674638.720000001"/>
    <n v="6.51"/>
    <n v="65.650000000000006"/>
    <n v="35.799999999999997"/>
    <n v="210.17"/>
    <n v="70.25"/>
    <s v="Middle East &amp; Africa"/>
  </r>
  <r>
    <n v="2023"/>
    <x v="1"/>
    <s v="Galaxy S23 5G"/>
    <x v="1"/>
    <n v="12105"/>
    <n v="51838068.950000003"/>
    <n v="5.2799999999999896"/>
    <n v="77.760000000000005"/>
    <n v="52.15"/>
    <n v="51.12"/>
    <n v="86.82"/>
    <s v="Latin America"/>
  </r>
  <r>
    <n v="2023"/>
    <x v="1"/>
    <s v="Galaxy Z Flip5 5G"/>
    <x v="1"/>
    <n v="43400"/>
    <n v="25193544.600000001"/>
    <n v="2.97"/>
    <n v="86.63"/>
    <n v="52.81"/>
    <n v="178.32"/>
    <n v="45.09"/>
    <s v="Latin America"/>
  </r>
  <r>
    <n v="2023"/>
    <x v="2"/>
    <s v="Galaxy S10"/>
    <x v="0"/>
    <n v="45735"/>
    <n v="2987436.3840000001"/>
    <n v="0.26"/>
    <n v="50.76"/>
    <n v="9.67"/>
    <n v="280.41000000000003"/>
    <n v="64.86"/>
    <s v="Asia-Pacific"/>
  </r>
  <r>
    <n v="2023"/>
    <x v="2"/>
    <s v="Galaxy Note10"/>
    <x v="0"/>
    <n v="14799"/>
    <n v="4874859.7379999999"/>
    <n v="3.39"/>
    <n v="49.36"/>
    <n v="15.579999999999901"/>
    <n v="220.38"/>
    <n v="51.94"/>
    <s v="Middle East &amp; Africa"/>
  </r>
  <r>
    <n v="2023"/>
    <x v="2"/>
    <s v="Galaxy S20"/>
    <x v="0"/>
    <n v="42940"/>
    <n v="4424999.4989999998"/>
    <n v="0.59"/>
    <n v="87.76"/>
    <n v="46.41"/>
    <n v="87.57"/>
    <n v="83.22"/>
    <s v="Europe"/>
  </r>
  <r>
    <n v="2023"/>
    <x v="2"/>
    <s v="Galaxy Note20"/>
    <x v="0"/>
    <n v="46321"/>
    <n v="12172734.050000001"/>
    <n v="2.5"/>
    <n v="44.49"/>
    <n v="12.73"/>
    <n v="238.14"/>
    <n v="47.82"/>
    <s v="Europe"/>
  </r>
  <r>
    <n v="2023"/>
    <x v="2"/>
    <s v="Galaxy S21"/>
    <x v="0"/>
    <n v="22101"/>
    <n v="45898246.390000001"/>
    <n v="0.35"/>
    <n v="38.79"/>
    <n v="27.92"/>
    <n v="77.87"/>
    <n v="49.98"/>
    <s v="Europe"/>
  </r>
  <r>
    <n v="2023"/>
    <x v="2"/>
    <s v="Galaxy A32 5G"/>
    <x v="1"/>
    <n v="18578"/>
    <n v="35842354.880000003"/>
    <n v="5.27"/>
    <n v="41.64"/>
    <n v="13.95"/>
    <n v="192.01"/>
    <n v="73.64"/>
    <s v="North America"/>
  </r>
  <r>
    <n v="2023"/>
    <x v="2"/>
    <s v="Galaxy A52 5G"/>
    <x v="1"/>
    <n v="63804"/>
    <n v="26099538.280000001"/>
    <n v="2.5299999999999998"/>
    <n v="49.54"/>
    <n v="36.479999999999997"/>
    <n v="168.21"/>
    <n v="88.53"/>
    <s v="North America"/>
  </r>
  <r>
    <n v="2023"/>
    <x v="2"/>
    <s v="Galaxy A73 5G"/>
    <x v="1"/>
    <n v="60353"/>
    <n v="10771600.5239999"/>
    <n v="3.43"/>
    <n v="67.709999999999994"/>
    <n v="35.68"/>
    <n v="79.34"/>
    <n v="58.28"/>
    <s v="North America"/>
  </r>
  <r>
    <n v="2023"/>
    <x v="2"/>
    <s v="Galaxy Z Fold2 5G"/>
    <x v="1"/>
    <n v="56014"/>
    <n v="38203293.829999998"/>
    <n v="5.04"/>
    <n v="92.55"/>
    <n v="22.12"/>
    <n v="50.37"/>
    <n v="45.65"/>
    <s v="Asia-Pacific"/>
  </r>
  <r>
    <n v="2023"/>
    <x v="2"/>
    <s v="Galaxy Z Flip3 5G"/>
    <x v="1"/>
    <n v="30009"/>
    <n v="27935761.68"/>
    <n v="5.49"/>
    <n v="48.11"/>
    <n v="22.61"/>
    <n v="157"/>
    <n v="94.16"/>
    <s v="Europe"/>
  </r>
  <r>
    <n v="2023"/>
    <x v="2"/>
    <s v="Galaxy S22 5G"/>
    <x v="1"/>
    <n v="11176"/>
    <n v="41387013.969999999"/>
    <n v="6.52"/>
    <n v="59.53"/>
    <n v="7.3599999999999897"/>
    <n v="246.52"/>
    <n v="46.97"/>
    <s v="North America"/>
  </r>
  <r>
    <n v="2023"/>
    <x v="2"/>
    <s v="Galaxy Z Fold3 5G"/>
    <x v="1"/>
    <n v="35816"/>
    <n v="11652906.140000001"/>
    <n v="6.83"/>
    <n v="52.51"/>
    <n v="23.96"/>
    <n v="85.44"/>
    <n v="54.57"/>
    <s v="North America"/>
  </r>
  <r>
    <n v="2023"/>
    <x v="2"/>
    <s v="Galaxy A14 5G"/>
    <x v="1"/>
    <n v="51399"/>
    <n v="42332669.411999904"/>
    <n v="4.71"/>
    <n v="77.37"/>
    <n v="33.159999999999997"/>
    <n v="212.73"/>
    <n v="87.94"/>
    <s v="Latin America"/>
  </r>
  <r>
    <n v="2023"/>
    <x v="2"/>
    <s v="Galaxy S23 5G"/>
    <x v="1"/>
    <n v="25724"/>
    <n v="4967036.6160000004"/>
    <n v="2.8"/>
    <n v="102.38"/>
    <n v="45.67"/>
    <n v="52.28"/>
    <n v="75.87"/>
    <s v="Asia-Pacific"/>
  </r>
  <r>
    <n v="2023"/>
    <x v="2"/>
    <s v="Galaxy Z Flip5 5G"/>
    <x v="1"/>
    <n v="19229"/>
    <n v="37535867.520000003"/>
    <n v="6.95"/>
    <n v="71.89"/>
    <n v="44.75"/>
    <n v="122.87"/>
    <n v="91.72"/>
    <s v="Latin America"/>
  </r>
  <r>
    <n v="2023"/>
    <x v="3"/>
    <s v="Galaxy S10"/>
    <x v="0"/>
    <n v="40560"/>
    <n v="10240842.15"/>
    <n v="1.06"/>
    <n v="40.090000000000003"/>
    <n v="30.86"/>
    <n v="154.81"/>
    <n v="68.239999999999995"/>
    <s v="North America"/>
  </r>
  <r>
    <n v="2023"/>
    <x v="3"/>
    <s v="Galaxy Note10"/>
    <x v="0"/>
    <n v="35697"/>
    <n v="19462564.98"/>
    <n v="2.4900000000000002"/>
    <n v="36.549999999999997"/>
    <n v="36.44"/>
    <n v="236.39"/>
    <n v="47.11"/>
    <s v="North America"/>
  </r>
  <r>
    <n v="2023"/>
    <x v="3"/>
    <s v="Galaxy S20"/>
    <x v="0"/>
    <n v="47421"/>
    <n v="4828393.0619999999"/>
    <n v="0.34"/>
    <n v="69.319999999999993"/>
    <n v="14.16"/>
    <n v="174.21"/>
    <n v="73.78"/>
    <s v="Latin America"/>
  </r>
  <r>
    <n v="2023"/>
    <x v="3"/>
    <s v="Galaxy Note20"/>
    <x v="0"/>
    <n v="36328"/>
    <n v="33957658.93"/>
    <n v="1.68"/>
    <n v="25.34"/>
    <n v="10.88"/>
    <n v="248.93"/>
    <n v="80.819999999999993"/>
    <s v="Middle East &amp; Africa"/>
  </r>
  <r>
    <n v="2023"/>
    <x v="3"/>
    <s v="Galaxy S21"/>
    <x v="0"/>
    <n v="7177"/>
    <n v="12756979.869999999"/>
    <n v="3.84"/>
    <n v="83.21"/>
    <n v="46.58"/>
    <n v="244.75"/>
    <n v="58.59"/>
    <s v="Latin America"/>
  </r>
  <r>
    <n v="2023"/>
    <x v="3"/>
    <s v="Galaxy A32 5G"/>
    <x v="1"/>
    <n v="26543"/>
    <n v="22616882.710000001"/>
    <n v="6.92"/>
    <n v="47.63"/>
    <n v="35.93"/>
    <n v="142.99"/>
    <n v="65.489999999999995"/>
    <s v="Europe"/>
  </r>
  <r>
    <n v="2023"/>
    <x v="3"/>
    <s v="Galaxy A52 5G"/>
    <x v="1"/>
    <n v="56191"/>
    <n v="12240588.060000001"/>
    <n v="6.71"/>
    <n v="72.16"/>
    <n v="7.12"/>
    <n v="152.26"/>
    <n v="87.72"/>
    <s v="Asia-Pacific"/>
  </r>
  <r>
    <n v="2023"/>
    <x v="3"/>
    <s v="Galaxy A73 5G"/>
    <x v="1"/>
    <n v="31159"/>
    <n v="41780958.789999999"/>
    <n v="4.5599999999999996"/>
    <n v="79.39"/>
    <n v="20.12"/>
    <n v="294.91000000000003"/>
    <n v="53.57"/>
    <s v="Middle East &amp; Africa"/>
  </r>
  <r>
    <n v="2023"/>
    <x v="3"/>
    <s v="Galaxy Z Fold2 5G"/>
    <x v="1"/>
    <n v="61064"/>
    <n v="65387195.350000001"/>
    <n v="5.49"/>
    <n v="85.64"/>
    <n v="26.68"/>
    <n v="170.74"/>
    <n v="59.27"/>
    <s v="Asia-Pacific"/>
  </r>
  <r>
    <n v="2023"/>
    <x v="3"/>
    <s v="Galaxy Z Flip3 5G"/>
    <x v="1"/>
    <n v="34138"/>
    <n v="54539172.82"/>
    <n v="5.92"/>
    <n v="98.31"/>
    <n v="21.34"/>
    <n v="195.17"/>
    <n v="79.73"/>
    <s v="Asia-Pacific"/>
  </r>
  <r>
    <n v="2023"/>
    <x v="3"/>
    <s v="Galaxy S22 5G"/>
    <x v="1"/>
    <n v="36216"/>
    <n v="29959374.23"/>
    <n v="3.82"/>
    <n v="70.59"/>
    <n v="46.92"/>
    <n v="177.43"/>
    <n v="63.86"/>
    <s v="Latin America"/>
  </r>
  <r>
    <n v="2023"/>
    <x v="3"/>
    <s v="Galaxy Z Fold3 5G"/>
    <x v="1"/>
    <n v="56470"/>
    <n v="29368072.66"/>
    <n v="5.15"/>
    <n v="71.88"/>
    <n v="21.15"/>
    <n v="192.3"/>
    <n v="46.87"/>
    <s v="North America"/>
  </r>
  <r>
    <n v="2023"/>
    <x v="3"/>
    <s v="Galaxy A14 5G"/>
    <x v="1"/>
    <n v="50544"/>
    <n v="43782286.43"/>
    <n v="4.6399999999999997"/>
    <n v="96.7"/>
    <n v="13.78"/>
    <n v="184.26"/>
    <n v="51.56"/>
    <s v="North America"/>
  </r>
  <r>
    <n v="2023"/>
    <x v="3"/>
    <s v="Galaxy S23 5G"/>
    <x v="1"/>
    <n v="8752"/>
    <n v="38989375.219999999"/>
    <n v="2.66"/>
    <n v="83.21"/>
    <n v="28.99"/>
    <n v="286.82"/>
    <n v="62.63"/>
    <s v="Europe"/>
  </r>
  <r>
    <n v="2023"/>
    <x v="3"/>
    <s v="Galaxy Z Flip5 5G"/>
    <x v="1"/>
    <n v="52161"/>
    <n v="28251610.309999999"/>
    <n v="4.47"/>
    <n v="63.99"/>
    <n v="48.56"/>
    <n v="255.02"/>
    <n v="48.38"/>
    <s v="Middle East &amp; Africa"/>
  </r>
  <r>
    <n v="2024"/>
    <x v="0"/>
    <s v="Galaxy S10"/>
    <x v="0"/>
    <n v="37131"/>
    <n v="45587127.689999998"/>
    <n v="0.59"/>
    <n v="83.06"/>
    <n v="0.33999999999999903"/>
    <n v="274.2"/>
    <n v="42.93"/>
    <s v="North America"/>
  </r>
  <r>
    <n v="2024"/>
    <x v="0"/>
    <s v="Galaxy Note10"/>
    <x v="0"/>
    <n v="22947"/>
    <n v="10581556.07"/>
    <n v="2.0299999999999998"/>
    <n v="51.05"/>
    <n v="13.99"/>
    <n v="62.01"/>
    <n v="43.39"/>
    <s v="Europe"/>
  </r>
  <r>
    <n v="2024"/>
    <x v="0"/>
    <s v="Galaxy S20"/>
    <x v="0"/>
    <n v="32783"/>
    <n v="24954402.68"/>
    <n v="-0.12"/>
    <n v="68.38"/>
    <n v="18.52"/>
    <n v="165.62"/>
    <n v="84.08"/>
    <s v="Asia-Pacific"/>
  </r>
  <r>
    <n v="2024"/>
    <x v="0"/>
    <s v="Galaxy Note20"/>
    <x v="0"/>
    <n v="11825"/>
    <n v="26416166.620000001"/>
    <n v="3.72"/>
    <n v="48.75"/>
    <n v="13.42"/>
    <n v="267.68"/>
    <n v="82.48"/>
    <s v="Asia-Pacific"/>
  </r>
  <r>
    <n v="2024"/>
    <x v="0"/>
    <s v="Galaxy S21"/>
    <x v="0"/>
    <n v="11094"/>
    <n v="32422221.329999998"/>
    <n v="2.75"/>
    <n v="69.33"/>
    <n v="8.1999999999999993"/>
    <n v="259.14999999999998"/>
    <n v="73.14"/>
    <s v="Middle East &amp; Africa"/>
  </r>
  <r>
    <n v="2024"/>
    <x v="0"/>
    <s v="Galaxy A32 5G"/>
    <x v="1"/>
    <n v="54883"/>
    <n v="29105714.760000002"/>
    <n v="6.45"/>
    <n v="41.13"/>
    <n v="51.34"/>
    <n v="117.64"/>
    <n v="58.15"/>
    <s v="North America"/>
  </r>
  <r>
    <n v="2024"/>
    <x v="0"/>
    <s v="Galaxy A52 5G"/>
    <x v="1"/>
    <n v="31220"/>
    <n v="36722606.380000003"/>
    <n v="6.53"/>
    <n v="40.51"/>
    <n v="32.239999999999903"/>
    <n v="130.35"/>
    <n v="80.87"/>
    <s v="Latin America"/>
  </r>
  <r>
    <n v="2024"/>
    <x v="0"/>
    <s v="Galaxy A73 5G"/>
    <x v="1"/>
    <n v="11255"/>
    <n v="40448789.530000001"/>
    <n v="6.91"/>
    <n v="69.89"/>
    <n v="14.95"/>
    <n v="211"/>
    <n v="67.67"/>
    <s v="North America"/>
  </r>
  <r>
    <n v="2024"/>
    <x v="0"/>
    <s v="Galaxy Z Fold2 5G"/>
    <x v="1"/>
    <n v="62968"/>
    <n v="36037742.340000004"/>
    <n v="3.27"/>
    <n v="91.81"/>
    <n v="35.090000000000003"/>
    <n v="236.61"/>
    <n v="93.38"/>
    <s v="Middle East &amp; Africa"/>
  </r>
  <r>
    <n v="2024"/>
    <x v="0"/>
    <s v="Galaxy Z Flip3 5G"/>
    <x v="1"/>
    <n v="57073"/>
    <n v="27851665.91"/>
    <n v="2.61"/>
    <n v="66.33"/>
    <n v="8.11"/>
    <n v="196.33"/>
    <n v="89.62"/>
    <s v="Latin America"/>
  </r>
  <r>
    <n v="2024"/>
    <x v="0"/>
    <s v="Galaxy S22 5G"/>
    <x v="1"/>
    <n v="43911"/>
    <n v="45501962.543999903"/>
    <n v="4.21"/>
    <n v="45.54"/>
    <n v="47.18"/>
    <n v="293.87"/>
    <n v="46.55"/>
    <s v="Europe"/>
  </r>
  <r>
    <n v="2024"/>
    <x v="0"/>
    <s v="Galaxy Z Fold3 5G"/>
    <x v="1"/>
    <n v="6628"/>
    <n v="36995468.590000004"/>
    <n v="4.8099999999999996"/>
    <n v="93.86"/>
    <n v="26.43"/>
    <n v="157.51"/>
    <n v="45.53"/>
    <s v="Europe"/>
  </r>
  <r>
    <n v="2024"/>
    <x v="0"/>
    <s v="Galaxy A14 5G"/>
    <x v="1"/>
    <n v="54366"/>
    <n v="58337180.299999997"/>
    <n v="2.87"/>
    <n v="90.7"/>
    <n v="13.54"/>
    <n v="83.75"/>
    <n v="56.88"/>
    <s v="Asia-Pacific"/>
  </r>
  <r>
    <n v="2024"/>
    <x v="0"/>
    <s v="Galaxy S23 5G"/>
    <x v="1"/>
    <n v="43162"/>
    <n v="43400860.595999897"/>
    <n v="3.11"/>
    <n v="73.38"/>
    <n v="46.43"/>
    <n v="195.74"/>
    <n v="49.58"/>
    <s v="Middle East &amp; Africa"/>
  </r>
  <r>
    <n v="2024"/>
    <x v="0"/>
    <s v="Galaxy Z Flip5 5G"/>
    <x v="1"/>
    <n v="24624"/>
    <n v="36547057.850000001"/>
    <n v="6.92"/>
    <n v="54.55"/>
    <n v="50.77"/>
    <n v="120.07"/>
    <n v="50.72"/>
    <s v="North America"/>
  </r>
  <r>
    <n v="2024"/>
    <x v="1"/>
    <s v="Galaxy S10"/>
    <x v="0"/>
    <n v="26237"/>
    <n v="30930455.537999999"/>
    <n v="2.72"/>
    <n v="30.37"/>
    <n v="43.72"/>
    <n v="205.74"/>
    <n v="48.09"/>
    <s v="Middle East &amp; Africa"/>
  </r>
  <r>
    <n v="2024"/>
    <x v="1"/>
    <s v="Galaxy Note10"/>
    <x v="0"/>
    <n v="22269"/>
    <n v="16275671.49"/>
    <n v="2.2400000000000002"/>
    <n v="67.36"/>
    <n v="2.27"/>
    <n v="216.59"/>
    <n v="73.239999999999995"/>
    <s v="North America"/>
  </r>
  <r>
    <n v="2024"/>
    <x v="1"/>
    <s v="Galaxy S20"/>
    <x v="0"/>
    <n v="27314"/>
    <n v="25415808.77"/>
    <n v="0.48"/>
    <n v="88.91"/>
    <n v="13.08"/>
    <n v="84.12"/>
    <n v="40.119999999999997"/>
    <s v="Europe"/>
  </r>
  <r>
    <n v="2024"/>
    <x v="1"/>
    <s v="Galaxy Note20"/>
    <x v="0"/>
    <n v="18938"/>
    <n v="16203612.710000001"/>
    <n v="3.04"/>
    <n v="84.26"/>
    <n v="14.97"/>
    <n v="201.33"/>
    <n v="75.69"/>
    <s v="Europe"/>
  </r>
  <r>
    <n v="2024"/>
    <x v="1"/>
    <s v="Galaxy S21"/>
    <x v="0"/>
    <n v="14478"/>
    <n v="46356728.390000001"/>
    <n v="1.47"/>
    <n v="44.98"/>
    <n v="31.83"/>
    <n v="190.4"/>
    <n v="78.16"/>
    <s v="Latin America"/>
  </r>
  <r>
    <n v="2024"/>
    <x v="1"/>
    <s v="Galaxy A32 5G"/>
    <x v="1"/>
    <n v="64381"/>
    <n v="8891741.3399999999"/>
    <n v="3.46"/>
    <n v="81.540000000000006"/>
    <n v="25.48"/>
    <n v="147.47999999999999"/>
    <n v="52.94"/>
    <s v="North America"/>
  </r>
  <r>
    <n v="2024"/>
    <x v="1"/>
    <s v="Galaxy A52 5G"/>
    <x v="1"/>
    <n v="33515"/>
    <n v="35787763.82"/>
    <n v="4.3"/>
    <n v="82.09"/>
    <n v="44.83"/>
    <n v="256.14"/>
    <n v="51.86"/>
    <s v="Latin America"/>
  </r>
  <r>
    <n v="2024"/>
    <x v="1"/>
    <s v="Galaxy A73 5G"/>
    <x v="1"/>
    <n v="14587"/>
    <n v="28041204.800000001"/>
    <n v="2.85"/>
    <n v="53.66"/>
    <n v="51.8"/>
    <n v="126.75"/>
    <n v="94.43"/>
    <s v="Asia-Pacific"/>
  </r>
  <r>
    <n v="2024"/>
    <x v="1"/>
    <s v="Galaxy Z Fold2 5G"/>
    <x v="1"/>
    <n v="47712"/>
    <n v="18117011.059999999"/>
    <n v="3.62"/>
    <n v="64.38"/>
    <n v="33.69"/>
    <n v="172.94"/>
    <n v="72.78"/>
    <s v="North America"/>
  </r>
  <r>
    <n v="2024"/>
    <x v="1"/>
    <s v="Galaxy Z Flip3 5G"/>
    <x v="1"/>
    <n v="24276"/>
    <n v="82025137.200000003"/>
    <n v="6.27"/>
    <n v="51.96"/>
    <n v="37.97"/>
    <n v="177.35"/>
    <n v="73.86"/>
    <s v="Latin America"/>
  </r>
  <r>
    <n v="2024"/>
    <x v="1"/>
    <s v="Galaxy S22 5G"/>
    <x v="1"/>
    <n v="28349"/>
    <n v="29473665.23"/>
    <n v="6.51"/>
    <n v="94.18"/>
    <n v="34.270000000000003"/>
    <n v="103.77"/>
    <n v="65.41"/>
    <s v="Asia-Pacific"/>
  </r>
  <r>
    <n v="2024"/>
    <x v="1"/>
    <s v="Galaxy Z Fold3 5G"/>
    <x v="1"/>
    <n v="33169"/>
    <n v="35954900.030000001"/>
    <n v="5.42"/>
    <n v="53.54"/>
    <n v="26.02"/>
    <n v="294.86"/>
    <n v="54.66"/>
    <s v="Europe"/>
  </r>
  <r>
    <n v="2024"/>
    <x v="1"/>
    <s v="Galaxy A14 5G"/>
    <x v="1"/>
    <n v="7463"/>
    <n v="54322194.789999999"/>
    <n v="3.42"/>
    <n v="84.33"/>
    <n v="29.05"/>
    <n v="82.85"/>
    <n v="88.18"/>
    <s v="North America"/>
  </r>
  <r>
    <n v="2024"/>
    <x v="1"/>
    <s v="Galaxy S23 5G"/>
    <x v="1"/>
    <n v="16723"/>
    <n v="10462398.76"/>
    <n v="5.79"/>
    <n v="80.56"/>
    <n v="28.87"/>
    <n v="162.51"/>
    <n v="72.81"/>
    <s v="Middle East &amp; Africa"/>
  </r>
  <r>
    <n v="2024"/>
    <x v="1"/>
    <s v="Galaxy Z Flip5 5G"/>
    <x v="1"/>
    <n v="44327"/>
    <n v="51331262.543999903"/>
    <n v="4.95"/>
    <n v="78.31"/>
    <n v="41.66"/>
    <n v="198.84"/>
    <n v="46.44"/>
    <s v="Middle East &amp; Africa"/>
  </r>
  <r>
    <n v="2024"/>
    <x v="2"/>
    <s v="Galaxy S10"/>
    <x v="0"/>
    <n v="32671"/>
    <n v="47591496.990000002"/>
    <n v="2.77"/>
    <n v="27.94"/>
    <n v="32.880000000000003"/>
    <n v="71.209999999999994"/>
    <n v="82.95"/>
    <s v="Asia-Pacific"/>
  </r>
  <r>
    <n v="2024"/>
    <x v="2"/>
    <s v="Galaxy Note10"/>
    <x v="0"/>
    <n v="40214"/>
    <n v="41136987.82"/>
    <n v="0.13999999999999899"/>
    <n v="87.83"/>
    <n v="40.29"/>
    <n v="259.95"/>
    <n v="42.51"/>
    <s v="Asia-Pacific"/>
  </r>
  <r>
    <n v="2024"/>
    <x v="2"/>
    <s v="Galaxy S20"/>
    <x v="0"/>
    <n v="5564"/>
    <n v="59801417.460000001"/>
    <n v="3.5"/>
    <n v="48.6"/>
    <n v="29.86"/>
    <n v="213.04"/>
    <n v="46.39"/>
    <s v="Europe"/>
  </r>
  <r>
    <n v="2024"/>
    <x v="2"/>
    <s v="Galaxy Note20"/>
    <x v="0"/>
    <n v="19903"/>
    <n v="17437926.68"/>
    <n v="3.41"/>
    <n v="61.77"/>
    <n v="2.81"/>
    <n v="289.86"/>
    <n v="52.2"/>
    <s v="Middle East &amp; Africa"/>
  </r>
  <r>
    <n v="2024"/>
    <x v="2"/>
    <s v="Galaxy S21"/>
    <x v="0"/>
    <n v="21386"/>
    <n v="36904339.770000003"/>
    <n v="2.99"/>
    <n v="72.989999999999995"/>
    <n v="35.39"/>
    <n v="296.75"/>
    <n v="75.59"/>
    <s v="Latin America"/>
  </r>
  <r>
    <n v="2024"/>
    <x v="2"/>
    <s v="Galaxy A32 5G"/>
    <x v="1"/>
    <n v="27969"/>
    <n v="70164647.829999998"/>
    <n v="2.62"/>
    <n v="46.76"/>
    <n v="43.61"/>
    <n v="103.25"/>
    <n v="63.21"/>
    <s v="Middle East &amp; Africa"/>
  </r>
  <r>
    <n v="2024"/>
    <x v="2"/>
    <s v="Galaxy A52 5G"/>
    <x v="1"/>
    <n v="37433"/>
    <n v="18338586.460000001"/>
    <n v="4.04"/>
    <n v="87.64"/>
    <n v="53.76"/>
    <n v="101.77"/>
    <n v="50.02"/>
    <s v="Middle East &amp; Africa"/>
  </r>
  <r>
    <n v="2024"/>
    <x v="2"/>
    <s v="Galaxy A73 5G"/>
    <x v="1"/>
    <n v="39286"/>
    <n v="60220617.189999998"/>
    <n v="3.28"/>
    <n v="52.62"/>
    <n v="54.48"/>
    <n v="284.67"/>
    <n v="72.09"/>
    <s v="Europe"/>
  </r>
  <r>
    <n v="2024"/>
    <x v="2"/>
    <s v="Galaxy Z Fold2 5G"/>
    <x v="1"/>
    <n v="53528"/>
    <n v="21387152.239999998"/>
    <n v="6.42"/>
    <n v="103.82"/>
    <n v="51.01"/>
    <n v="130.55000000000001"/>
    <n v="85.26"/>
    <s v="Middle East &amp; Africa"/>
  </r>
  <r>
    <n v="2024"/>
    <x v="2"/>
    <s v="Galaxy Z Flip3 5G"/>
    <x v="1"/>
    <n v="35291"/>
    <n v="49226395.399999999"/>
    <n v="6.75"/>
    <n v="62.89"/>
    <n v="24.49"/>
    <n v="220.65"/>
    <n v="89.72"/>
    <s v="North America"/>
  </r>
  <r>
    <n v="2024"/>
    <x v="2"/>
    <s v="Galaxy S22 5G"/>
    <x v="1"/>
    <n v="59709"/>
    <n v="24247149.039999999"/>
    <n v="6.3"/>
    <n v="103.78"/>
    <n v="12.99"/>
    <n v="284.37"/>
    <n v="67.069999999999993"/>
    <s v="Middle East &amp; Africa"/>
  </r>
  <r>
    <n v="2024"/>
    <x v="2"/>
    <s v="Galaxy Z Fold3 5G"/>
    <x v="1"/>
    <n v="43568"/>
    <n v="7815666.2519999901"/>
    <n v="5.04"/>
    <n v="74.459999999999994"/>
    <n v="45.39"/>
    <n v="255.35"/>
    <n v="72.28"/>
    <s v="North America"/>
  </r>
  <r>
    <n v="2024"/>
    <x v="2"/>
    <s v="Galaxy A14 5G"/>
    <x v="1"/>
    <n v="14266"/>
    <n v="34815441.960000001"/>
    <n v="4.33"/>
    <n v="40.78"/>
    <n v="17.489999999999998"/>
    <n v="190.78"/>
    <n v="88.08"/>
    <s v="Latin America"/>
  </r>
  <r>
    <n v="2024"/>
    <x v="2"/>
    <s v="Galaxy S23 5G"/>
    <x v="1"/>
    <n v="15763"/>
    <n v="7376208.852"/>
    <n v="5.89"/>
    <n v="74.459999999999994"/>
    <n v="50.36"/>
    <n v="173.23"/>
    <n v="52.39"/>
    <s v="North America"/>
  </r>
  <r>
    <n v="2024"/>
    <x v="2"/>
    <s v="Galaxy Z Flip5 5G"/>
    <x v="1"/>
    <n v="37683"/>
    <n v="25975311.579999998"/>
    <n v="6.15"/>
    <n v="87.83"/>
    <n v="29.56"/>
    <n v="270.57"/>
    <n v="63.33"/>
    <s v="Europe"/>
  </r>
  <r>
    <n v="2024"/>
    <x v="3"/>
    <s v="Galaxy S10"/>
    <x v="0"/>
    <n v="9805"/>
    <n v="4494602.4929999998"/>
    <n v="0.27"/>
    <n v="59.49"/>
    <n v="16.98"/>
    <n v="203.22"/>
    <n v="57.32"/>
    <s v="Middle East &amp; Africa"/>
  </r>
  <r>
    <n v="2024"/>
    <x v="3"/>
    <s v="Galaxy Note10"/>
    <x v="0"/>
    <n v="39017"/>
    <n v="15031174.35"/>
    <n v="1.95"/>
    <n v="50.4"/>
    <n v="25.44"/>
    <n v="268.60000000000002"/>
    <n v="38.07"/>
    <s v="Asia-Pacific"/>
  </r>
  <r>
    <n v="2024"/>
    <x v="3"/>
    <s v="Galaxy S20"/>
    <x v="0"/>
    <n v="7534"/>
    <n v="29771391.219999999"/>
    <n v="3.55"/>
    <n v="47.5"/>
    <n v="12.56"/>
    <n v="51.73"/>
    <n v="74.44"/>
    <s v="Europe"/>
  </r>
  <r>
    <n v="2024"/>
    <x v="3"/>
    <s v="Galaxy Note20"/>
    <x v="0"/>
    <n v="42266"/>
    <n v="23557754.829999998"/>
    <n v="0.34"/>
    <n v="86.28"/>
    <n v="26.49"/>
    <n v="294.81"/>
    <n v="51.79"/>
    <s v="Latin America"/>
  </r>
  <r>
    <n v="2024"/>
    <x v="3"/>
    <s v="Galaxy S21"/>
    <x v="0"/>
    <n v="28852"/>
    <n v="14365866.470000001"/>
    <n v="0.22999999999999901"/>
    <n v="46.1"/>
    <n v="3.47"/>
    <n v="194.32"/>
    <n v="86.51"/>
    <s v="Middle East &amp; Africa"/>
  </r>
  <r>
    <n v="2024"/>
    <x v="3"/>
    <s v="Galaxy A32 5G"/>
    <x v="1"/>
    <n v="25724"/>
    <n v="57565236.579999998"/>
    <n v="5.68"/>
    <n v="69.979999999999905"/>
    <n v="34.17"/>
    <n v="231.5"/>
    <n v="84.08"/>
    <s v="Latin America"/>
  </r>
  <r>
    <n v="2024"/>
    <x v="3"/>
    <s v="Galaxy A52 5G"/>
    <x v="1"/>
    <n v="10554"/>
    <n v="21897425.739999998"/>
    <n v="5.35"/>
    <n v="41.87"/>
    <n v="19.649999999999999"/>
    <n v="187.87"/>
    <n v="87.11"/>
    <s v="Asia-Pacific"/>
  </r>
  <r>
    <n v="2024"/>
    <x v="3"/>
    <s v="Galaxy A73 5G"/>
    <x v="1"/>
    <n v="63966"/>
    <n v="35148376"/>
    <n v="3.86"/>
    <n v="68.180000000000007"/>
    <n v="37.299999999999997"/>
    <n v="171.35"/>
    <n v="81.11"/>
    <s v="North America"/>
  </r>
  <r>
    <n v="2024"/>
    <x v="3"/>
    <s v="Galaxy Z Fold2 5G"/>
    <x v="1"/>
    <n v="50336"/>
    <n v="24239867.16"/>
    <n v="4.0599999999999996"/>
    <n v="44.48"/>
    <n v="16.75"/>
    <n v="205.63"/>
    <n v="73.459999999999994"/>
    <s v="Middle East &amp; Africa"/>
  </r>
  <r>
    <n v="2024"/>
    <x v="3"/>
    <s v="Galaxy Z Flip3 5G"/>
    <x v="1"/>
    <n v="35834"/>
    <n v="8672653.0079999994"/>
    <n v="3.47"/>
    <n v="79.11"/>
    <n v="20.48"/>
    <n v="97.86"/>
    <n v="49"/>
    <s v="Middle East &amp; Africa"/>
  </r>
  <r>
    <n v="2024"/>
    <x v="3"/>
    <s v="Galaxy S22 5G"/>
    <x v="1"/>
    <n v="28368"/>
    <n v="17639255.890000001"/>
    <n v="5.79"/>
    <n v="47.78"/>
    <n v="35.700000000000003"/>
    <n v="99.55"/>
    <n v="92.85"/>
    <s v="Europe"/>
  </r>
  <r>
    <n v="2024"/>
    <x v="3"/>
    <s v="Galaxy Z Fold3 5G"/>
    <x v="1"/>
    <n v="31313"/>
    <n v="33616387.43"/>
    <n v="6.7"/>
    <n v="59.12"/>
    <n v="51.35"/>
    <n v="229.94"/>
    <n v="66.099999999999994"/>
    <s v="North America"/>
  </r>
  <r>
    <n v="2024"/>
    <x v="3"/>
    <s v="Galaxy A14 5G"/>
    <x v="1"/>
    <n v="10175"/>
    <n v="31584423.949999999"/>
    <n v="6.39"/>
    <n v="86.4"/>
    <n v="6.87"/>
    <n v="170.92"/>
    <n v="87.54"/>
    <s v="Asia-Pacific"/>
  </r>
  <r>
    <n v="2024"/>
    <x v="3"/>
    <s v="Galaxy S23 5G"/>
    <x v="1"/>
    <n v="27459"/>
    <n v="48297091.175999902"/>
    <n v="2.65"/>
    <n v="73.66"/>
    <n v="17.95"/>
    <n v="186.37"/>
    <n v="92.94"/>
    <s v="North America"/>
  </r>
  <r>
    <n v="2024"/>
    <x v="3"/>
    <s v="Galaxy Z Flip5 5G"/>
    <x v="1"/>
    <n v="23576"/>
    <n v="7378715.04"/>
    <n v="4.9400000000000004"/>
    <n v="92.65"/>
    <n v="27.65"/>
    <n v="261.8"/>
    <n v="75.180000000000007"/>
    <s v="Asia-Pacifi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378BFF-C8DC-40C1-B30E-0651EC1194D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2">
    <pivotField showAll="0"/>
    <pivotField showAll="0"/>
    <pivotField showAll="0"/>
    <pivotField showAll="0"/>
    <pivotField numFmtId="4" showAll="0"/>
    <pivotField dataField="1" numFmtId="164" showAll="0"/>
    <pivotField showAll="0"/>
    <pivotField showAll="0"/>
    <pivotField showAll="0"/>
    <pivotField showAll="0"/>
    <pivotField showAll="0"/>
    <pivotField showAll="0"/>
  </pivotFields>
  <rowItems count="1">
    <i/>
  </rowItems>
  <colItems count="1">
    <i/>
  </colItems>
  <dataFields count="1">
    <dataField name="Total Revenue ($)" fld="5" baseField="0" baseItem="0" numFmtId="164"/>
  </dataFields>
  <formats count="6">
    <format dxfId="7">
      <pivotArea type="all" dataOnly="0" outline="0" fieldPosition="0"/>
    </format>
    <format dxfId="6">
      <pivotArea outline="0" collapsedLevelsAreSubtotals="1"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B01BB9-5D2E-419E-A77B-82A15399BE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2">
    <pivotField showAll="0"/>
    <pivotField showAll="0"/>
    <pivotField showAll="0"/>
    <pivotField showAll="0"/>
    <pivotField dataField="1" numFmtId="4" showAll="0"/>
    <pivotField numFmtId="164" showAll="0"/>
    <pivotField showAll="0"/>
    <pivotField showAll="0"/>
    <pivotField showAll="0"/>
    <pivotField showAll="0"/>
    <pivotField showAll="0"/>
    <pivotField showAll="0"/>
  </pivotFields>
  <rowItems count="1">
    <i/>
  </rowItems>
  <colItems count="1">
    <i/>
  </colItems>
  <dataFields count="1">
    <dataField name="Total Units Sold" fld="4" baseField="0" baseItem="0" numFmtId="4"/>
  </dataFields>
  <formats count="4">
    <format dxfId="11">
      <pivotArea dataOnly="0" labelOnly="1" outline="0" axis="axisValues" fieldPosition="0"/>
    </format>
    <format dxfId="10">
      <pivotArea dataOnly="0" labelOnly="1" outline="0" axis="axisValues" fieldPosition="0"/>
    </format>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9692EE-3C71-49DF-B8D0-4B335F697E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2">
    <pivotField showAll="0"/>
    <pivotField showAll="0"/>
    <pivotField showAll="0"/>
    <pivotField showAll="0"/>
    <pivotField numFmtId="4" showAll="0"/>
    <pivotField numFmtId="164" showAll="0"/>
    <pivotField showAll="0"/>
    <pivotField showAll="0"/>
    <pivotField dataField="1" showAll="0"/>
    <pivotField showAll="0"/>
    <pivotField showAll="0"/>
    <pivotField showAll="0"/>
  </pivotFields>
  <rowItems count="1">
    <i/>
  </rowItems>
  <colItems count="1">
    <i/>
  </colItems>
  <dataFields count="1">
    <dataField name="Total 5G Subscribers (millions)" fld="8" baseField="0" baseItem="0"/>
  </dataFields>
  <formats count="1">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808E84-AFA2-414E-B69F-2FFCCE70ECB2}"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1:H16" firstHeaderRow="1" firstDataRow="1" firstDataCol="1"/>
  <pivotFields count="12">
    <pivotField showAll="0"/>
    <pivotField axis="axisRow" showAll="0">
      <items count="5">
        <item x="0"/>
        <item x="1"/>
        <item x="2"/>
        <item x="3"/>
        <item t="default"/>
      </items>
    </pivotField>
    <pivotField showAll="0"/>
    <pivotField dataField="1" showAll="0">
      <items count="3">
        <item x="0"/>
        <item x="1"/>
        <item t="default"/>
      </items>
    </pivotField>
    <pivotField numFmtId="4" showAll="0"/>
    <pivotField numFmtId="164"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Count of 5G Capability" fld="3"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B1142E-D25C-45DE-A4A5-AB108EE064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3:D50" firstHeaderRow="0" firstDataRow="1" firstDataCol="1"/>
  <pivotFields count="12">
    <pivotField showAll="0">
      <items count="8">
        <item x="0"/>
        <item x="1"/>
        <item x="2"/>
        <item x="3"/>
        <item x="4"/>
        <item x="5"/>
        <item x="6"/>
        <item t="default"/>
      </items>
    </pivotField>
    <pivotField showAll="0"/>
    <pivotField axis="axisRow" showAll="0">
      <items count="17">
        <item x="12"/>
        <item x="5"/>
        <item x="6"/>
        <item x="7"/>
        <item x="1"/>
        <item x="3"/>
        <item x="0"/>
        <item x="2"/>
        <item x="4"/>
        <item x="10"/>
        <item x="13"/>
        <item x="9"/>
        <item x="14"/>
        <item x="8"/>
        <item x="11"/>
        <item x="15"/>
        <item t="default"/>
      </items>
    </pivotField>
    <pivotField showAll="0"/>
    <pivotField numFmtId="4" showAll="0"/>
    <pivotField numFmtId="164" showAll="0"/>
    <pivotField showAll="0"/>
    <pivotField dataField="1" showAll="0"/>
    <pivotField dataField="1" showAll="0"/>
    <pivotField showAll="0"/>
    <pivotField showAll="0"/>
    <pivotField showAll="0"/>
  </pivotFields>
  <rowFields count="1">
    <field x="2"/>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Regional 5G Coverage (%)" fld="7" baseField="0" baseItem="0" numFmtId="2"/>
    <dataField name="Sum of 5G Subscribers (millions)" fld="8" baseField="0" baseItem="0" numFmtId="2"/>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A4639E-CCA3-4EFC-8AB9-4A50C58E80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20" firstHeaderRow="1" firstDataRow="1" firstDataCol="1"/>
  <pivotFields count="12">
    <pivotField showAll="0"/>
    <pivotField showAll="0"/>
    <pivotField axis="axisRow" showAll="0" sortType="ascending">
      <items count="17">
        <item x="12"/>
        <item x="5"/>
        <item x="6"/>
        <item x="7"/>
        <item x="1"/>
        <item x="3"/>
        <item x="0"/>
        <item x="2"/>
        <item x="4"/>
        <item x="10"/>
        <item x="13"/>
        <item x="9"/>
        <item x="14"/>
        <item x="8"/>
        <item x="11"/>
        <item x="15"/>
        <item t="default"/>
      </items>
      <autoSortScope>
        <pivotArea dataOnly="0" outline="0" fieldPosition="0">
          <references count="1">
            <reference field="4294967294" count="1" selected="0">
              <x v="0"/>
            </reference>
          </references>
        </pivotArea>
      </autoSortScope>
    </pivotField>
    <pivotField showAll="0"/>
    <pivotField numFmtId="4" showAll="0"/>
    <pivotField numFmtId="164" showAll="0"/>
    <pivotField dataField="1" showAll="0"/>
    <pivotField showAll="0"/>
    <pivotField showAll="0"/>
    <pivotField showAll="0"/>
    <pivotField showAll="0"/>
    <pivotField showAll="0"/>
  </pivotFields>
  <rowFields count="1">
    <field x="2"/>
  </rowFields>
  <rowItems count="17">
    <i>
      <x v="15"/>
    </i>
    <i>
      <x v="6"/>
    </i>
    <i>
      <x v="8"/>
    </i>
    <i>
      <x v="7"/>
    </i>
    <i>
      <x v="4"/>
    </i>
    <i>
      <x v="5"/>
    </i>
    <i>
      <x v="13"/>
    </i>
    <i>
      <x v="3"/>
    </i>
    <i>
      <x v="10"/>
    </i>
    <i>
      <x v="12"/>
    </i>
    <i>
      <x v="2"/>
    </i>
    <i>
      <x v="9"/>
    </i>
    <i>
      <x v="1"/>
    </i>
    <i>
      <x v="11"/>
    </i>
    <i>
      <x/>
    </i>
    <i>
      <x v="14"/>
    </i>
    <i t="grand">
      <x/>
    </i>
  </rowItems>
  <colItems count="1">
    <i/>
  </colItems>
  <dataFields count="1">
    <dataField name="Sum of Market Share (%)" fld="6" baseField="0" baseItem="0"/>
  </dataField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5D5DF6-D447-442C-B19F-20B7BF9B54E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83:C190" firstHeaderRow="1" firstDataRow="1" firstDataCol="1"/>
  <pivotFields count="12">
    <pivotField showAll="0"/>
    <pivotField showAll="0"/>
    <pivotField showAll="0"/>
    <pivotField showAll="0"/>
    <pivotField numFmtId="4" showAll="0"/>
    <pivotField dataField="1" numFmtId="164" showAll="0"/>
    <pivotField showAll="0"/>
    <pivotField showAll="0"/>
    <pivotField showAll="0"/>
    <pivotField showAll="0"/>
    <pivotField showAll="0"/>
    <pivotField axis="axisRow" showAll="0">
      <items count="7">
        <item x="0"/>
        <item x="4"/>
        <item x="1"/>
        <item x="2"/>
        <item x="3"/>
        <item x="5"/>
        <item t="default"/>
      </items>
    </pivotField>
  </pivotFields>
  <rowFields count="1">
    <field x="11"/>
  </rowFields>
  <rowItems count="7">
    <i>
      <x/>
    </i>
    <i>
      <x v="1"/>
    </i>
    <i>
      <x v="2"/>
    </i>
    <i>
      <x v="3"/>
    </i>
    <i>
      <x v="4"/>
    </i>
    <i>
      <x v="5"/>
    </i>
    <i t="grand">
      <x/>
    </i>
  </rowItems>
  <colItems count="1">
    <i/>
  </colItems>
  <dataFields count="1">
    <dataField name="Sum of Revenue ($)" fld="5" baseField="0" baseItem="0" numFmtId="164"/>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4"/>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0" format="4">
      <pivotArea type="data" outline="0" fieldPosition="0">
        <references count="2">
          <reference field="4294967294" count="1" selected="0">
            <x v="0"/>
          </reference>
          <reference field="11" count="1" selected="0">
            <x v="2"/>
          </reference>
        </references>
      </pivotArea>
    </chartFormat>
    <chartFormat chart="0" format="5">
      <pivotArea type="data" outline="0" fieldPosition="0">
        <references count="2">
          <reference field="4294967294" count="1" selected="0">
            <x v="0"/>
          </reference>
          <reference field="11" count="1" selected="0">
            <x v="3"/>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1" count="1" selected="0">
            <x v="0"/>
          </reference>
        </references>
      </pivotArea>
    </chartFormat>
    <chartFormat chart="2" format="9">
      <pivotArea type="data" outline="0" fieldPosition="0">
        <references count="2">
          <reference field="4294967294" count="1" selected="0">
            <x v="0"/>
          </reference>
          <reference field="11" count="1" selected="0">
            <x v="1"/>
          </reference>
        </references>
      </pivotArea>
    </chartFormat>
    <chartFormat chart="2" format="10">
      <pivotArea type="data" outline="0" fieldPosition="0">
        <references count="2">
          <reference field="4294967294" count="1" selected="0">
            <x v="0"/>
          </reference>
          <reference field="11" count="1" selected="0">
            <x v="2"/>
          </reference>
        </references>
      </pivotArea>
    </chartFormat>
    <chartFormat chart="2" format="11">
      <pivotArea type="data" outline="0" fieldPosition="0">
        <references count="2">
          <reference field="4294967294" count="1" selected="0">
            <x v="0"/>
          </reference>
          <reference field="11" count="1" selected="0">
            <x v="3"/>
          </reference>
        </references>
      </pivotArea>
    </chartFormat>
    <chartFormat chart="2" format="12">
      <pivotArea type="data" outline="0" fieldPosition="0">
        <references count="2">
          <reference field="4294967294" count="1" selected="0">
            <x v="0"/>
          </reference>
          <reference field="11" count="1" selected="0">
            <x v="4"/>
          </reference>
        </references>
      </pivotArea>
    </chartFormat>
    <chartFormat chart="2" format="13">
      <pivotArea type="data" outline="0" fieldPosition="0">
        <references count="2">
          <reference field="4294967294" count="1" selected="0">
            <x v="0"/>
          </reference>
          <reference field="11" count="1" selected="0">
            <x v="5"/>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11" count="1" selected="0">
            <x v="0"/>
          </reference>
        </references>
      </pivotArea>
    </chartFormat>
    <chartFormat chart="3" format="16">
      <pivotArea type="data" outline="0" fieldPosition="0">
        <references count="2">
          <reference field="4294967294" count="1" selected="0">
            <x v="0"/>
          </reference>
          <reference field="11" count="1" selected="0">
            <x v="1"/>
          </reference>
        </references>
      </pivotArea>
    </chartFormat>
    <chartFormat chart="3" format="17">
      <pivotArea type="data" outline="0" fieldPosition="0">
        <references count="2">
          <reference field="4294967294" count="1" selected="0">
            <x v="0"/>
          </reference>
          <reference field="11" count="1" selected="0">
            <x v="2"/>
          </reference>
        </references>
      </pivotArea>
    </chartFormat>
    <chartFormat chart="3" format="18">
      <pivotArea type="data" outline="0" fieldPosition="0">
        <references count="2">
          <reference field="4294967294" count="1" selected="0">
            <x v="0"/>
          </reference>
          <reference field="11" count="1" selected="0">
            <x v="3"/>
          </reference>
        </references>
      </pivotArea>
    </chartFormat>
    <chartFormat chart="3" format="19">
      <pivotArea type="data" outline="0" fieldPosition="0">
        <references count="2">
          <reference field="4294967294" count="1" selected="0">
            <x v="0"/>
          </reference>
          <reference field="11" count="1" selected="0">
            <x v="4"/>
          </reference>
        </references>
      </pivotArea>
    </chartFormat>
    <chartFormat chart="3" format="20">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5099FD-3225-4133-95C0-7535964FF9A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40:C157" firstHeaderRow="1" firstDataRow="1" firstDataCol="1"/>
  <pivotFields count="12">
    <pivotField showAll="0"/>
    <pivotField showAll="0"/>
    <pivotField axis="axisRow" showAll="0" sortType="descending">
      <items count="17">
        <item x="12"/>
        <item x="5"/>
        <item x="6"/>
        <item x="7"/>
        <item x="1"/>
        <item x="3"/>
        <item x="0"/>
        <item x="2"/>
        <item x="4"/>
        <item x="10"/>
        <item x="13"/>
        <item x="9"/>
        <item x="14"/>
        <item x="8"/>
        <item x="11"/>
        <item x="15"/>
        <item t="default"/>
      </items>
      <autoSortScope>
        <pivotArea dataOnly="0" outline="0" fieldPosition="0">
          <references count="1">
            <reference field="4294967294" count="1" selected="0">
              <x v="0"/>
            </reference>
          </references>
        </pivotArea>
      </autoSortScope>
    </pivotField>
    <pivotField showAll="0"/>
    <pivotField numFmtId="4" showAll="0"/>
    <pivotField dataField="1" numFmtId="164" showAll="0"/>
    <pivotField showAll="0"/>
    <pivotField showAll="0"/>
    <pivotField showAll="0"/>
    <pivotField showAll="0"/>
    <pivotField showAll="0"/>
    <pivotField showAll="0"/>
  </pivotFields>
  <rowFields count="1">
    <field x="2"/>
  </rowFields>
  <rowItems count="17">
    <i>
      <x/>
    </i>
    <i>
      <x v="10"/>
    </i>
    <i>
      <x v="9"/>
    </i>
    <i>
      <x v="2"/>
    </i>
    <i>
      <x v="13"/>
    </i>
    <i>
      <x v="3"/>
    </i>
    <i>
      <x v="11"/>
    </i>
    <i>
      <x v="1"/>
    </i>
    <i>
      <x v="14"/>
    </i>
    <i>
      <x v="12"/>
    </i>
    <i>
      <x v="5"/>
    </i>
    <i>
      <x v="8"/>
    </i>
    <i>
      <x v="4"/>
    </i>
    <i>
      <x v="6"/>
    </i>
    <i>
      <x v="7"/>
    </i>
    <i>
      <x v="15"/>
    </i>
    <i t="grand">
      <x/>
    </i>
  </rowItems>
  <colItems count="1">
    <i/>
  </colItems>
  <dataFields count="1">
    <dataField name="Sum of Revenue ($)" fld="5" baseField="0" baseItem="0" numFmtId="164"/>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BD875C-AAB8-4C2D-A600-34A082DF63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15:D121" firstHeaderRow="1" firstDataRow="1" firstDataCol="1"/>
  <pivotFields count="12">
    <pivotField showAll="0"/>
    <pivotField axis="axisRow" showAll="0">
      <items count="6">
        <item x="0"/>
        <item x="1"/>
        <item x="2"/>
        <item x="3"/>
        <item x="4"/>
        <item t="default"/>
      </items>
    </pivotField>
    <pivotField showAll="0"/>
    <pivotField showAll="0"/>
    <pivotField dataField="1" numFmtId="4" showAll="0"/>
    <pivotField numFmtId="164" showAll="0"/>
    <pivotField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Units Sold" fld="4" baseField="0" baseItem="0" numFmtId="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758E10-C528-430D-9898-4F9BD586A99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87:D94" firstHeaderRow="0" firstDataRow="1" firstDataCol="1"/>
  <pivotFields count="12">
    <pivotField showAll="0"/>
    <pivotField showAll="0"/>
    <pivotField showAll="0"/>
    <pivotField showAll="0">
      <items count="4">
        <item x="0"/>
        <item x="1"/>
        <item x="2"/>
        <item t="default"/>
      </items>
    </pivotField>
    <pivotField numFmtId="4" showAll="0"/>
    <pivotField numFmtId="164" showAll="0"/>
    <pivotField showAll="0"/>
    <pivotField showAll="0"/>
    <pivotField showAll="0"/>
    <pivotField dataField="1" showAll="0"/>
    <pivotField dataField="1" showAll="0"/>
    <pivotField axis="axisRow" showAll="0">
      <items count="7">
        <item x="0"/>
        <item x="4"/>
        <item x="1"/>
        <item x="2"/>
        <item x="3"/>
        <item x="5"/>
        <item t="default"/>
      </items>
    </pivotField>
  </pivotFields>
  <rowFields count="1">
    <field x="11"/>
  </rowFields>
  <rowItems count="7">
    <i>
      <x/>
    </i>
    <i>
      <x v="1"/>
    </i>
    <i>
      <x v="2"/>
    </i>
    <i>
      <x v="3"/>
    </i>
    <i>
      <x v="4"/>
    </i>
    <i>
      <x v="5"/>
    </i>
    <i t="grand">
      <x/>
    </i>
  </rowItems>
  <colFields count="1">
    <field x="-2"/>
  </colFields>
  <colItems count="2">
    <i>
      <x/>
    </i>
    <i i="1">
      <x v="1"/>
    </i>
  </colItems>
  <dataFields count="2">
    <dataField name="Sum of Avg 5G Speed (Mbps)" fld="9" baseField="0" baseItem="0"/>
    <dataField name="Sum of Preference for 5G (%)" fld="10"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93ACA3-FBBB-4EAC-9EE8-1A1A66C713A1}" sourceName="Region">
  <pivotTables>
    <pivotTable tabId="3" name="PivotTable9"/>
  </pivotTables>
  <data>
    <tabular pivotCacheId="2099490169">
      <items count="6">
        <i x="0" s="1"/>
        <i x="4" s="1"/>
        <i x="1" s="1"/>
        <i x="2" s="1"/>
        <i x="3"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6C56BDC-1B50-4A58-AC5A-2B21A8024EB6}" sourceName="Quarter">
  <pivotTables>
    <pivotTable tabId="3" name="PivotTable7"/>
  </pivotTables>
  <data>
    <tabular pivotCacheId="2099490169">
      <items count="5">
        <i x="0" s="1"/>
        <i x="1" s="1"/>
        <i x="2" s="1"/>
        <i x="3"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G_Capability" xr10:uid="{96548822-465D-4876-BF32-9FC71C9C0D9D}" sourceName="5G Capability">
  <pivotTables>
    <pivotTable tabId="3" name="PivotTable6"/>
  </pivotTables>
  <data>
    <tabular pivotCacheId="2099490169">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3334411-2A58-441D-A684-088AAB2CD83E}" sourceName="Year">
  <pivotTables>
    <pivotTable tabId="3" name="PivotTable5"/>
  </pivotTables>
  <data>
    <tabular pivotCacheId="2099490169">
      <items count="7">
        <i x="0" s="1"/>
        <i x="1" s="1"/>
        <i x="2" s="1"/>
        <i x="3" s="1"/>
        <i x="4" s="1"/>
        <i x="5"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12BEA50-B989-4FB5-97AC-FF67E404FB79}" cache="Slicer_Region" caption="Region" rowHeight="648000"/>
  <slicer name="Quarter 1" xr10:uid="{F27465D7-3DD5-46CC-ACCC-EE97C321F073}" cache="Slicer_Quarter" caption="Quarter" rowHeight="576000"/>
  <slicer name="5G Capability 1" xr10:uid="{DD786FD9-A353-48AE-A62D-B4E0C5021E5E}" cache="Slicer_5G_Capability" caption="5G Capability" rowHeight="241300"/>
  <slicer name="Year 1" xr10:uid="{6DD3AC9E-991A-4E22-B451-5B741D222E65}" cache="Slicer_Year" caption="Year" columnCount="2" rowHeight="93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369E4C6-9536-4528-AECE-1EF97B1389F4}" cache="Slicer_Region" caption="Region" rowHeight="241300"/>
  <slicer name="Quarter" xr10:uid="{3CA43D43-2B97-4728-B693-9BE500DC1D22}" cache="Slicer_Quarter" caption="Quarter" columnCount="2" rowHeight="241300"/>
  <slicer name="5G Capability" xr10:uid="{84B2C1A0-BE03-44E5-8E41-E191FC3963AD}" cache="Slicer_5G_Capability" caption="5G Capability" columnCount="2" rowHeight="241300"/>
  <slicer name="Year" xr10:uid="{DCAB9CD4-1C0B-4294-8593-4B48C1D8515D}" cache="Slicer_Year" caption="Year"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AE0C34-BC77-45CB-ADCB-E05E00F889E8}" name="Table1" displayName="Table1" ref="A1:A6" totalsRowShown="0" headerRowDxfId="15" tableBorderDxfId="14">
  <autoFilter ref="A1:A6" xr:uid="{EBAE0C34-BC77-45CB-ADCB-E05E00F889E8}"/>
  <tableColumns count="1">
    <tableColumn id="1" xr3:uid="{39B4747E-B558-45E4-A7AB-0DD30E950C26}" name="Region" dataDxfId="1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7.xml"/><Relationship Id="rId7"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A284A-C9F1-41E5-AEBF-953E80D395FF}">
  <dimension ref="A1:L1001"/>
  <sheetViews>
    <sheetView zoomScale="64" workbookViewId="0">
      <selection activeCell="H22" sqref="A1:L361"/>
    </sheetView>
  </sheetViews>
  <sheetFormatPr defaultRowHeight="14.5" x14ac:dyDescent="0.35"/>
  <cols>
    <col min="1" max="1" width="4.81640625" bestFit="1" customWidth="1"/>
    <col min="2" max="2" width="7.453125" bestFit="1" customWidth="1"/>
    <col min="3" max="3" width="15.54296875" bestFit="1" customWidth="1"/>
    <col min="4" max="4" width="11.81640625" bestFit="1" customWidth="1"/>
    <col min="5" max="5" width="9.1796875" style="1" bestFit="1" customWidth="1"/>
    <col min="6" max="6" width="15.08984375" style="2" bestFit="1" customWidth="1"/>
    <col min="7" max="7" width="15.453125" bestFit="1" customWidth="1"/>
    <col min="8" max="8" width="22.26953125" bestFit="1" customWidth="1"/>
    <col min="9" max="9" width="21.54296875" bestFit="1" customWidth="1"/>
    <col min="10" max="10" width="18.7265625" bestFit="1" customWidth="1"/>
    <col min="11" max="11" width="18.90625" bestFit="1" customWidth="1"/>
    <col min="12" max="12" width="17.81640625" bestFit="1" customWidth="1"/>
  </cols>
  <sheetData>
    <row r="1" spans="1:12" x14ac:dyDescent="0.35">
      <c r="A1" s="3" t="s">
        <v>0</v>
      </c>
      <c r="B1" s="4" t="s">
        <v>1</v>
      </c>
      <c r="C1" s="4" t="s">
        <v>2</v>
      </c>
      <c r="D1" s="4" t="s">
        <v>3</v>
      </c>
      <c r="E1" s="5" t="s">
        <v>4</v>
      </c>
      <c r="F1" s="6" t="s">
        <v>5</v>
      </c>
      <c r="G1" s="4" t="s">
        <v>6</v>
      </c>
      <c r="H1" s="4" t="s">
        <v>7</v>
      </c>
      <c r="I1" s="4" t="s">
        <v>8</v>
      </c>
      <c r="J1" s="4" t="s">
        <v>9</v>
      </c>
      <c r="K1" s="4" t="s">
        <v>10</v>
      </c>
      <c r="L1" s="7" t="s">
        <v>11</v>
      </c>
    </row>
    <row r="2" spans="1:12" x14ac:dyDescent="0.35">
      <c r="A2" s="8">
        <v>2019</v>
      </c>
      <c r="B2" s="9" t="s">
        <v>12</v>
      </c>
      <c r="C2" s="9" t="s">
        <v>13</v>
      </c>
      <c r="D2" s="9" t="s">
        <v>14</v>
      </c>
      <c r="E2" s="10">
        <v>26396</v>
      </c>
      <c r="F2" s="11">
        <v>4212951.0480000004</v>
      </c>
      <c r="G2" s="9">
        <v>1.04</v>
      </c>
      <c r="H2" s="9">
        <v>57.36</v>
      </c>
      <c r="I2" s="9">
        <v>39.549999999999997</v>
      </c>
      <c r="J2" s="9">
        <v>293.10000000000002</v>
      </c>
      <c r="K2" s="9">
        <v>55.87</v>
      </c>
      <c r="L2" s="12" t="s">
        <v>15</v>
      </c>
    </row>
    <row r="3" spans="1:12" x14ac:dyDescent="0.35">
      <c r="A3" s="13">
        <v>2019</v>
      </c>
      <c r="B3" s="14" t="s">
        <v>12</v>
      </c>
      <c r="C3" s="14" t="s">
        <v>16</v>
      </c>
      <c r="D3" s="14" t="s">
        <v>14</v>
      </c>
      <c r="E3" s="15">
        <v>25671</v>
      </c>
      <c r="F3" s="16">
        <v>7240265.60399999</v>
      </c>
      <c r="G3" s="14">
        <v>2.82</v>
      </c>
      <c r="H3" s="14">
        <v>85.8</v>
      </c>
      <c r="I3" s="14">
        <v>42.58</v>
      </c>
      <c r="J3" s="14">
        <v>67.459999999999994</v>
      </c>
      <c r="K3" s="14">
        <v>37.26</v>
      </c>
      <c r="L3" s="17" t="s">
        <v>17</v>
      </c>
    </row>
    <row r="4" spans="1:12" x14ac:dyDescent="0.35">
      <c r="A4" s="8">
        <v>2019</v>
      </c>
      <c r="B4" s="9" t="s">
        <v>12</v>
      </c>
      <c r="C4" s="9" t="s">
        <v>18</v>
      </c>
      <c r="D4" s="9" t="s">
        <v>14</v>
      </c>
      <c r="E4" s="10">
        <v>16573</v>
      </c>
      <c r="F4" s="11">
        <v>25608331.510000002</v>
      </c>
      <c r="G4" s="9">
        <v>-0.03</v>
      </c>
      <c r="H4" s="9">
        <v>47.02</v>
      </c>
      <c r="I4" s="9">
        <v>3.78</v>
      </c>
      <c r="J4" s="9">
        <v>77.25</v>
      </c>
      <c r="K4" s="9">
        <v>84.66</v>
      </c>
      <c r="L4" s="12" t="s">
        <v>19</v>
      </c>
    </row>
    <row r="5" spans="1:12" x14ac:dyDescent="0.35">
      <c r="A5" s="13">
        <v>2019</v>
      </c>
      <c r="B5" s="14" t="s">
        <v>12</v>
      </c>
      <c r="C5" s="14" t="s">
        <v>20</v>
      </c>
      <c r="D5" s="14" t="s">
        <v>14</v>
      </c>
      <c r="E5" s="15">
        <v>7177</v>
      </c>
      <c r="F5" s="16">
        <v>21984415.829999998</v>
      </c>
      <c r="G5" s="14">
        <v>0.84</v>
      </c>
      <c r="H5" s="14">
        <v>25.7</v>
      </c>
      <c r="I5" s="14">
        <v>23.41</v>
      </c>
      <c r="J5" s="14">
        <v>105.27</v>
      </c>
      <c r="K5" s="14">
        <v>40.03</v>
      </c>
      <c r="L5" s="17" t="s">
        <v>21</v>
      </c>
    </row>
    <row r="6" spans="1:12" x14ac:dyDescent="0.35">
      <c r="A6" s="8">
        <v>2019</v>
      </c>
      <c r="B6" s="9" t="s">
        <v>12</v>
      </c>
      <c r="C6" s="9" t="s">
        <v>22</v>
      </c>
      <c r="D6" s="9" t="s">
        <v>14</v>
      </c>
      <c r="E6" s="10">
        <v>45633</v>
      </c>
      <c r="F6" s="11">
        <v>16342437.5</v>
      </c>
      <c r="G6" s="9">
        <v>2.36</v>
      </c>
      <c r="H6" s="9">
        <v>89.13</v>
      </c>
      <c r="I6" s="9">
        <v>44.43</v>
      </c>
      <c r="J6" s="9">
        <v>206.17</v>
      </c>
      <c r="K6" s="9">
        <v>76.88</v>
      </c>
      <c r="L6" s="12" t="s">
        <v>17</v>
      </c>
    </row>
    <row r="7" spans="1:12" x14ac:dyDescent="0.35">
      <c r="A7" s="13">
        <v>2019</v>
      </c>
      <c r="B7" s="14" t="s">
        <v>12</v>
      </c>
      <c r="C7" s="14" t="s">
        <v>23</v>
      </c>
      <c r="D7" s="14" t="s">
        <v>24</v>
      </c>
      <c r="E7" s="15">
        <v>15912</v>
      </c>
      <c r="F7" s="16">
        <v>17178326.899999999</v>
      </c>
      <c r="G7" s="14">
        <v>5.41</v>
      </c>
      <c r="H7" s="14">
        <v>59.12</v>
      </c>
      <c r="I7" s="14">
        <v>12.14</v>
      </c>
      <c r="J7" s="14">
        <v>179.15</v>
      </c>
      <c r="K7" s="14">
        <v>80.790000000000006</v>
      </c>
      <c r="L7" s="17" t="s">
        <v>19</v>
      </c>
    </row>
    <row r="8" spans="1:12" x14ac:dyDescent="0.35">
      <c r="A8" s="8">
        <v>2019</v>
      </c>
      <c r="B8" s="9" t="s">
        <v>12</v>
      </c>
      <c r="C8" s="9" t="s">
        <v>25</v>
      </c>
      <c r="D8" s="9" t="s">
        <v>24</v>
      </c>
      <c r="E8" s="10">
        <v>7231</v>
      </c>
      <c r="F8" s="11">
        <v>48639810.189999998</v>
      </c>
      <c r="G8" s="9">
        <v>5.9</v>
      </c>
      <c r="H8" s="9">
        <v>52.94</v>
      </c>
      <c r="I8" s="9">
        <v>44.36</v>
      </c>
      <c r="J8" s="9">
        <v>259.16000000000003</v>
      </c>
      <c r="K8" s="9">
        <v>77.55</v>
      </c>
      <c r="L8" s="12" t="s">
        <v>17</v>
      </c>
    </row>
    <row r="9" spans="1:12" x14ac:dyDescent="0.35">
      <c r="A9" s="13">
        <v>2019</v>
      </c>
      <c r="B9" s="14" t="s">
        <v>12</v>
      </c>
      <c r="C9" s="14" t="s">
        <v>26</v>
      </c>
      <c r="D9" s="14" t="s">
        <v>24</v>
      </c>
      <c r="E9" s="15">
        <v>58711</v>
      </c>
      <c r="F9" s="16">
        <v>70175779.069999993</v>
      </c>
      <c r="G9" s="14">
        <v>4.92</v>
      </c>
      <c r="H9" s="14">
        <v>79.95</v>
      </c>
      <c r="I9" s="14">
        <v>49.7</v>
      </c>
      <c r="J9" s="14">
        <v>191.42</v>
      </c>
      <c r="K9" s="14">
        <v>74.83</v>
      </c>
      <c r="L9" s="17" t="s">
        <v>27</v>
      </c>
    </row>
    <row r="10" spans="1:12" x14ac:dyDescent="0.35">
      <c r="A10" s="8">
        <v>2019</v>
      </c>
      <c r="B10" s="9" t="s">
        <v>12</v>
      </c>
      <c r="C10" s="9" t="s">
        <v>28</v>
      </c>
      <c r="D10" s="9" t="s">
        <v>24</v>
      </c>
      <c r="E10" s="10">
        <v>40641</v>
      </c>
      <c r="F10" s="11">
        <v>51959555.759999998</v>
      </c>
      <c r="G10" s="9">
        <v>2.64</v>
      </c>
      <c r="H10" s="9">
        <v>44.77</v>
      </c>
      <c r="I10" s="9">
        <v>31.27</v>
      </c>
      <c r="J10" s="9">
        <v>151.18</v>
      </c>
      <c r="K10" s="9">
        <v>66.509999999999906</v>
      </c>
      <c r="L10" s="12" t="s">
        <v>21</v>
      </c>
    </row>
    <row r="11" spans="1:12" x14ac:dyDescent="0.35">
      <c r="A11" s="13">
        <v>2019</v>
      </c>
      <c r="B11" s="14" t="s">
        <v>12</v>
      </c>
      <c r="C11" s="14" t="s">
        <v>29</v>
      </c>
      <c r="D11" s="14" t="s">
        <v>24</v>
      </c>
      <c r="E11" s="15">
        <v>38119</v>
      </c>
      <c r="F11" s="16">
        <v>49899540.799999997</v>
      </c>
      <c r="G11" s="14">
        <v>6.84</v>
      </c>
      <c r="H11" s="14">
        <v>51.21</v>
      </c>
      <c r="I11" s="14">
        <v>38.33</v>
      </c>
      <c r="J11" s="14">
        <v>284.33</v>
      </c>
      <c r="K11" s="14">
        <v>87.01</v>
      </c>
      <c r="L11" s="17" t="s">
        <v>17</v>
      </c>
    </row>
    <row r="12" spans="1:12" x14ac:dyDescent="0.35">
      <c r="A12" s="8">
        <v>2019</v>
      </c>
      <c r="B12" s="9" t="s">
        <v>12</v>
      </c>
      <c r="C12" s="9" t="s">
        <v>30</v>
      </c>
      <c r="D12" s="9" t="s">
        <v>24</v>
      </c>
      <c r="E12" s="10">
        <v>36255</v>
      </c>
      <c r="F12" s="11">
        <v>12091673.939999999</v>
      </c>
      <c r="G12" s="9">
        <v>4.66</v>
      </c>
      <c r="H12" s="9">
        <v>56.5</v>
      </c>
      <c r="I12" s="9">
        <v>9.77</v>
      </c>
      <c r="J12" s="9">
        <v>81.430000000000007</v>
      </c>
      <c r="K12" s="9">
        <v>85.88</v>
      </c>
      <c r="L12" s="12" t="s">
        <v>19</v>
      </c>
    </row>
    <row r="13" spans="1:12" x14ac:dyDescent="0.35">
      <c r="A13" s="13">
        <v>2019</v>
      </c>
      <c r="B13" s="14" t="s">
        <v>12</v>
      </c>
      <c r="C13" s="14" t="s">
        <v>31</v>
      </c>
      <c r="D13" s="14" t="s">
        <v>24</v>
      </c>
      <c r="E13" s="15">
        <v>19643</v>
      </c>
      <c r="F13" s="16">
        <v>36029498.520000003</v>
      </c>
      <c r="G13" s="14">
        <v>5.67</v>
      </c>
      <c r="H13" s="14">
        <v>76.62</v>
      </c>
      <c r="I13" s="14">
        <v>22.84</v>
      </c>
      <c r="J13" s="14">
        <v>220.82</v>
      </c>
      <c r="K13" s="14">
        <v>88.16</v>
      </c>
      <c r="L13" s="17" t="s">
        <v>15</v>
      </c>
    </row>
    <row r="14" spans="1:12" x14ac:dyDescent="0.35">
      <c r="A14" s="8">
        <v>2019</v>
      </c>
      <c r="B14" s="9" t="s">
        <v>12</v>
      </c>
      <c r="C14" s="9" t="s">
        <v>32</v>
      </c>
      <c r="D14" s="9" t="s">
        <v>24</v>
      </c>
      <c r="E14" s="10">
        <v>12612</v>
      </c>
      <c r="F14" s="11">
        <v>57161551.82</v>
      </c>
      <c r="G14" s="9">
        <v>3.24</v>
      </c>
      <c r="H14" s="9">
        <v>64.479999999999905</v>
      </c>
      <c r="I14" s="9">
        <v>14.98</v>
      </c>
      <c r="J14" s="9">
        <v>161.49</v>
      </c>
      <c r="K14" s="9">
        <v>85.67</v>
      </c>
      <c r="L14" s="12" t="s">
        <v>19</v>
      </c>
    </row>
    <row r="15" spans="1:12" x14ac:dyDescent="0.35">
      <c r="A15" s="13">
        <v>2019</v>
      </c>
      <c r="B15" s="14" t="s">
        <v>12</v>
      </c>
      <c r="C15" s="14" t="s">
        <v>33</v>
      </c>
      <c r="D15" s="14" t="s">
        <v>24</v>
      </c>
      <c r="E15" s="15">
        <v>22722</v>
      </c>
      <c r="F15" s="16">
        <v>45310946.807999998</v>
      </c>
      <c r="G15" s="14">
        <v>2.88</v>
      </c>
      <c r="H15" s="14">
        <v>87.12</v>
      </c>
      <c r="I15" s="14">
        <v>19.04</v>
      </c>
      <c r="J15" s="14">
        <v>233.87</v>
      </c>
      <c r="K15" s="14">
        <v>45.66</v>
      </c>
      <c r="L15" s="17" t="s">
        <v>27</v>
      </c>
    </row>
    <row r="16" spans="1:12" x14ac:dyDescent="0.35">
      <c r="A16" s="8">
        <v>2019</v>
      </c>
      <c r="B16" s="9" t="s">
        <v>12</v>
      </c>
      <c r="C16" s="9" t="s">
        <v>34</v>
      </c>
      <c r="D16" s="9" t="s">
        <v>24</v>
      </c>
      <c r="E16" s="10">
        <v>8453</v>
      </c>
      <c r="F16" s="11">
        <v>46937282.289999999</v>
      </c>
      <c r="G16" s="9">
        <v>3.48</v>
      </c>
      <c r="H16" s="9">
        <v>72.729999999999905</v>
      </c>
      <c r="I16" s="9">
        <v>23.32</v>
      </c>
      <c r="J16" s="9">
        <v>130.87</v>
      </c>
      <c r="K16" s="9">
        <v>53.81</v>
      </c>
      <c r="L16" s="12" t="s">
        <v>17</v>
      </c>
    </row>
    <row r="17" spans="1:12" x14ac:dyDescent="0.35">
      <c r="A17" s="13">
        <v>2019</v>
      </c>
      <c r="B17" s="14" t="s">
        <v>35</v>
      </c>
      <c r="C17" s="14" t="s">
        <v>13</v>
      </c>
      <c r="D17" s="14" t="s">
        <v>14</v>
      </c>
      <c r="E17" s="15">
        <v>19160</v>
      </c>
      <c r="F17" s="16">
        <v>6660064.7999999998</v>
      </c>
      <c r="G17" s="14">
        <v>1.56</v>
      </c>
      <c r="H17" s="14">
        <v>67.69</v>
      </c>
      <c r="I17" s="14">
        <v>14.6</v>
      </c>
      <c r="J17" s="14">
        <v>156.93</v>
      </c>
      <c r="K17" s="14">
        <v>64.040000000000006</v>
      </c>
      <c r="L17" s="17" t="s">
        <v>19</v>
      </c>
    </row>
    <row r="18" spans="1:12" x14ac:dyDescent="0.35">
      <c r="A18" s="8">
        <v>2019</v>
      </c>
      <c r="B18" s="9" t="s">
        <v>35</v>
      </c>
      <c r="C18" s="9" t="s">
        <v>16</v>
      </c>
      <c r="D18" s="9" t="s">
        <v>14</v>
      </c>
      <c r="E18" s="10">
        <v>38253</v>
      </c>
      <c r="F18" s="11">
        <v>53195937.002999999</v>
      </c>
      <c r="G18" s="9">
        <v>-0.05</v>
      </c>
      <c r="H18" s="9">
        <v>76.73</v>
      </c>
      <c r="I18" s="9">
        <v>31.96</v>
      </c>
      <c r="J18" s="9">
        <v>273.85000000000002</v>
      </c>
      <c r="K18" s="9">
        <v>38.28</v>
      </c>
      <c r="L18" s="12" t="s">
        <v>19</v>
      </c>
    </row>
    <row r="19" spans="1:12" x14ac:dyDescent="0.35">
      <c r="A19" s="13">
        <v>2019</v>
      </c>
      <c r="B19" s="14" t="s">
        <v>35</v>
      </c>
      <c r="C19" s="14" t="s">
        <v>18</v>
      </c>
      <c r="D19" s="14" t="s">
        <v>14</v>
      </c>
      <c r="E19" s="15">
        <v>17404</v>
      </c>
      <c r="F19" s="16">
        <v>14950208.85</v>
      </c>
      <c r="G19" s="14">
        <v>2.5099999999999998</v>
      </c>
      <c r="H19" s="14">
        <v>38.86</v>
      </c>
      <c r="I19" s="14">
        <v>36.380000000000003</v>
      </c>
      <c r="J19" s="14">
        <v>105.21</v>
      </c>
      <c r="K19" s="14">
        <v>67.78</v>
      </c>
      <c r="L19" s="17" t="s">
        <v>19</v>
      </c>
    </row>
    <row r="20" spans="1:12" x14ac:dyDescent="0.35">
      <c r="A20" s="8">
        <v>2019</v>
      </c>
      <c r="B20" s="9" t="s">
        <v>35</v>
      </c>
      <c r="C20" s="9" t="s">
        <v>20</v>
      </c>
      <c r="D20" s="9" t="s">
        <v>14</v>
      </c>
      <c r="E20" s="10">
        <v>27841</v>
      </c>
      <c r="F20" s="11">
        <v>9787426.5150000006</v>
      </c>
      <c r="G20" s="9">
        <v>3.96</v>
      </c>
      <c r="H20" s="9">
        <v>75.22</v>
      </c>
      <c r="I20" s="9">
        <v>46.41</v>
      </c>
      <c r="J20" s="9">
        <v>283.25</v>
      </c>
      <c r="K20" s="9">
        <v>44.96</v>
      </c>
      <c r="L20" s="12" t="s">
        <v>19</v>
      </c>
    </row>
    <row r="21" spans="1:12" x14ac:dyDescent="0.35">
      <c r="A21" s="13">
        <v>2019</v>
      </c>
      <c r="B21" s="14" t="s">
        <v>35</v>
      </c>
      <c r="C21" s="14" t="s">
        <v>22</v>
      </c>
      <c r="D21" s="14" t="s">
        <v>14</v>
      </c>
      <c r="E21" s="15">
        <v>10047</v>
      </c>
      <c r="F21" s="16">
        <v>10691516.9</v>
      </c>
      <c r="G21" s="14">
        <v>1.56</v>
      </c>
      <c r="H21" s="14">
        <v>45.75</v>
      </c>
      <c r="I21" s="14">
        <v>15.36</v>
      </c>
      <c r="J21" s="14">
        <v>112.81</v>
      </c>
      <c r="K21" s="14">
        <v>85.33</v>
      </c>
      <c r="L21" s="17" t="s">
        <v>19</v>
      </c>
    </row>
    <row r="22" spans="1:12" x14ac:dyDescent="0.35">
      <c r="A22" s="8">
        <v>2019</v>
      </c>
      <c r="B22" s="9" t="s">
        <v>35</v>
      </c>
      <c r="C22" s="9" t="s">
        <v>23</v>
      </c>
      <c r="D22" s="9" t="s">
        <v>24</v>
      </c>
      <c r="E22" s="10">
        <v>25054</v>
      </c>
      <c r="F22" s="11">
        <v>40495943.740000002</v>
      </c>
      <c r="G22" s="9">
        <v>4.6399999999999997</v>
      </c>
      <c r="H22" s="9">
        <v>67.39</v>
      </c>
      <c r="I22" s="9">
        <v>21.03</v>
      </c>
      <c r="J22" s="9">
        <v>212.78</v>
      </c>
      <c r="K22" s="9">
        <v>63.69</v>
      </c>
      <c r="L22" s="12" t="s">
        <v>27</v>
      </c>
    </row>
    <row r="23" spans="1:12" x14ac:dyDescent="0.35">
      <c r="A23" s="13">
        <v>2019</v>
      </c>
      <c r="B23" s="14" t="s">
        <v>35</v>
      </c>
      <c r="C23" s="14" t="s">
        <v>25</v>
      </c>
      <c r="D23" s="14" t="s">
        <v>24</v>
      </c>
      <c r="E23" s="15">
        <v>37263</v>
      </c>
      <c r="F23" s="16">
        <v>29763310.309999999</v>
      </c>
      <c r="G23" s="14">
        <v>2.76</v>
      </c>
      <c r="H23" s="14">
        <v>55.56</v>
      </c>
      <c r="I23" s="14">
        <v>16.03</v>
      </c>
      <c r="J23" s="14">
        <v>263.32</v>
      </c>
      <c r="K23" s="14">
        <v>64.63</v>
      </c>
      <c r="L23" s="17" t="s">
        <v>15</v>
      </c>
    </row>
    <row r="24" spans="1:12" x14ac:dyDescent="0.35">
      <c r="A24" s="8">
        <v>2019</v>
      </c>
      <c r="B24" s="9" t="s">
        <v>35</v>
      </c>
      <c r="C24" s="9" t="s">
        <v>26</v>
      </c>
      <c r="D24" s="9" t="s">
        <v>24</v>
      </c>
      <c r="E24" s="10">
        <v>39191</v>
      </c>
      <c r="F24" s="11">
        <v>19631909.34</v>
      </c>
      <c r="G24" s="9">
        <v>3.35</v>
      </c>
      <c r="H24" s="9">
        <v>100.83</v>
      </c>
      <c r="I24" s="9">
        <v>49.18</v>
      </c>
      <c r="J24" s="9">
        <v>59.84</v>
      </c>
      <c r="K24" s="9">
        <v>53.2</v>
      </c>
      <c r="L24" s="12" t="s">
        <v>21</v>
      </c>
    </row>
    <row r="25" spans="1:12" x14ac:dyDescent="0.35">
      <c r="A25" s="13">
        <v>2019</v>
      </c>
      <c r="B25" s="14" t="s">
        <v>35</v>
      </c>
      <c r="C25" s="14" t="s">
        <v>28</v>
      </c>
      <c r="D25" s="14" t="s">
        <v>24</v>
      </c>
      <c r="E25" s="15">
        <v>11320</v>
      </c>
      <c r="F25" s="16">
        <v>36678245.920000002</v>
      </c>
      <c r="G25" s="14">
        <v>5.99</v>
      </c>
      <c r="H25" s="14">
        <v>50.12</v>
      </c>
      <c r="I25" s="14">
        <v>43.18</v>
      </c>
      <c r="J25" s="14">
        <v>251.51</v>
      </c>
      <c r="K25" s="14">
        <v>88.81</v>
      </c>
      <c r="L25" s="17" t="s">
        <v>21</v>
      </c>
    </row>
    <row r="26" spans="1:12" x14ac:dyDescent="0.35">
      <c r="A26" s="8">
        <v>2019</v>
      </c>
      <c r="B26" s="9" t="s">
        <v>35</v>
      </c>
      <c r="C26" s="9" t="s">
        <v>29</v>
      </c>
      <c r="D26" s="9" t="s">
        <v>24</v>
      </c>
      <c r="E26" s="10">
        <v>31105</v>
      </c>
      <c r="F26" s="11">
        <v>12818738.02</v>
      </c>
      <c r="G26" s="9">
        <v>4.7699999999999996</v>
      </c>
      <c r="H26" s="9">
        <v>93.04</v>
      </c>
      <c r="I26" s="9">
        <v>20.52</v>
      </c>
      <c r="J26" s="9">
        <v>110.55</v>
      </c>
      <c r="K26" s="9">
        <v>73.069999999999993</v>
      </c>
      <c r="L26" s="12" t="s">
        <v>21</v>
      </c>
    </row>
    <row r="27" spans="1:12" x14ac:dyDescent="0.35">
      <c r="A27" s="13">
        <v>2019</v>
      </c>
      <c r="B27" s="14" t="s">
        <v>35</v>
      </c>
      <c r="C27" s="14" t="s">
        <v>30</v>
      </c>
      <c r="D27" s="14" t="s">
        <v>24</v>
      </c>
      <c r="E27" s="15">
        <v>24185</v>
      </c>
      <c r="F27" s="16">
        <v>52192972.549999997</v>
      </c>
      <c r="G27" s="14">
        <v>2.95</v>
      </c>
      <c r="H27" s="14">
        <v>40.549999999999997</v>
      </c>
      <c r="I27" s="14">
        <v>46.73</v>
      </c>
      <c r="J27" s="14">
        <v>200.47</v>
      </c>
      <c r="K27" s="14">
        <v>83.06</v>
      </c>
      <c r="L27" s="17" t="s">
        <v>19</v>
      </c>
    </row>
    <row r="28" spans="1:12" x14ac:dyDescent="0.35">
      <c r="A28" s="8">
        <v>2019</v>
      </c>
      <c r="B28" s="9" t="s">
        <v>35</v>
      </c>
      <c r="C28" s="9" t="s">
        <v>31</v>
      </c>
      <c r="D28" s="9" t="s">
        <v>24</v>
      </c>
      <c r="E28" s="10">
        <v>8422</v>
      </c>
      <c r="F28" s="11">
        <v>11292488.050000001</v>
      </c>
      <c r="G28" s="9">
        <v>6</v>
      </c>
      <c r="H28" s="9">
        <v>55.76</v>
      </c>
      <c r="I28" s="9">
        <v>30.55</v>
      </c>
      <c r="J28" s="9">
        <v>170.31</v>
      </c>
      <c r="K28" s="9">
        <v>78.44</v>
      </c>
      <c r="L28" s="12" t="s">
        <v>17</v>
      </c>
    </row>
    <row r="29" spans="1:12" x14ac:dyDescent="0.35">
      <c r="A29" s="13">
        <v>2019</v>
      </c>
      <c r="B29" s="14" t="s">
        <v>35</v>
      </c>
      <c r="C29" s="14" t="s">
        <v>32</v>
      </c>
      <c r="D29" s="14" t="s">
        <v>24</v>
      </c>
      <c r="E29" s="15">
        <v>56397</v>
      </c>
      <c r="F29" s="16">
        <v>18390883.850000001</v>
      </c>
      <c r="G29" s="14">
        <v>6.11</v>
      </c>
      <c r="H29" s="14">
        <v>70.959999999999994</v>
      </c>
      <c r="I29" s="14">
        <v>23.8</v>
      </c>
      <c r="J29" s="14">
        <v>167.75</v>
      </c>
      <c r="K29" s="14">
        <v>55.21</v>
      </c>
      <c r="L29" s="17" t="s">
        <v>21</v>
      </c>
    </row>
    <row r="30" spans="1:12" x14ac:dyDescent="0.35">
      <c r="A30" s="8">
        <v>2019</v>
      </c>
      <c r="B30" s="9" t="s">
        <v>35</v>
      </c>
      <c r="C30" s="9" t="s">
        <v>33</v>
      </c>
      <c r="D30" s="9" t="s">
        <v>24</v>
      </c>
      <c r="E30" s="10">
        <v>36613</v>
      </c>
      <c r="F30" s="11">
        <v>63070767.789999999</v>
      </c>
      <c r="G30" s="9">
        <v>3.25</v>
      </c>
      <c r="H30" s="9">
        <v>83.96</v>
      </c>
      <c r="I30" s="9">
        <v>13.22</v>
      </c>
      <c r="J30" s="9">
        <v>280.73</v>
      </c>
      <c r="K30" s="9">
        <v>75.510000000000005</v>
      </c>
      <c r="L30" s="12" t="s">
        <v>21</v>
      </c>
    </row>
    <row r="31" spans="1:12" x14ac:dyDescent="0.35">
      <c r="A31" s="13">
        <v>2019</v>
      </c>
      <c r="B31" s="14" t="s">
        <v>35</v>
      </c>
      <c r="C31" s="14" t="s">
        <v>34</v>
      </c>
      <c r="D31" s="14" t="s">
        <v>24</v>
      </c>
      <c r="E31" s="15">
        <v>12030</v>
      </c>
      <c r="F31" s="16">
        <v>33549565.920000002</v>
      </c>
      <c r="G31" s="14">
        <v>5.82</v>
      </c>
      <c r="H31" s="14">
        <v>48.62</v>
      </c>
      <c r="I31" s="14">
        <v>36.32</v>
      </c>
      <c r="J31" s="14">
        <v>227.63</v>
      </c>
      <c r="K31" s="14">
        <v>91.79</v>
      </c>
      <c r="L31" s="17" t="s">
        <v>17</v>
      </c>
    </row>
    <row r="32" spans="1:12" x14ac:dyDescent="0.35">
      <c r="A32" s="8">
        <v>2019</v>
      </c>
      <c r="B32" s="9" t="s">
        <v>36</v>
      </c>
      <c r="C32" s="9" t="s">
        <v>13</v>
      </c>
      <c r="D32" s="9" t="s">
        <v>14</v>
      </c>
      <c r="E32" s="10">
        <v>27112</v>
      </c>
      <c r="F32" s="11">
        <v>27051337.739999998</v>
      </c>
      <c r="G32" s="9">
        <v>3.78</v>
      </c>
      <c r="H32" s="9">
        <v>61.35</v>
      </c>
      <c r="I32" s="9">
        <v>47.48</v>
      </c>
      <c r="J32" s="9">
        <v>152</v>
      </c>
      <c r="K32" s="9">
        <v>50.23</v>
      </c>
      <c r="L32" s="12" t="s">
        <v>21</v>
      </c>
    </row>
    <row r="33" spans="1:12" x14ac:dyDescent="0.35">
      <c r="A33" s="13">
        <v>2019</v>
      </c>
      <c r="B33" s="14" t="s">
        <v>36</v>
      </c>
      <c r="C33" s="14" t="s">
        <v>16</v>
      </c>
      <c r="D33" s="14" t="s">
        <v>14</v>
      </c>
      <c r="E33" s="15">
        <v>28788</v>
      </c>
      <c r="F33" s="16">
        <v>10130230.560000001</v>
      </c>
      <c r="G33" s="14">
        <v>1.38</v>
      </c>
      <c r="H33" s="14">
        <v>25.88</v>
      </c>
      <c r="I33" s="14">
        <v>6.92</v>
      </c>
      <c r="J33" s="14">
        <v>129.04</v>
      </c>
      <c r="K33" s="14">
        <v>46.41</v>
      </c>
      <c r="L33" s="17" t="s">
        <v>19</v>
      </c>
    </row>
    <row r="34" spans="1:12" x14ac:dyDescent="0.35">
      <c r="A34" s="8">
        <v>2019</v>
      </c>
      <c r="B34" s="9" t="s">
        <v>36</v>
      </c>
      <c r="C34" s="9" t="s">
        <v>18</v>
      </c>
      <c r="D34" s="9" t="s">
        <v>14</v>
      </c>
      <c r="E34" s="10">
        <v>29329</v>
      </c>
      <c r="F34" s="11">
        <v>11066723.119999999</v>
      </c>
      <c r="G34" s="9">
        <v>1.23</v>
      </c>
      <c r="H34" s="9">
        <v>57.98</v>
      </c>
      <c r="I34" s="9">
        <v>32.340000000000003</v>
      </c>
      <c r="J34" s="9">
        <v>132.81</v>
      </c>
      <c r="K34" s="9">
        <v>77.31</v>
      </c>
      <c r="L34" s="12" t="s">
        <v>15</v>
      </c>
    </row>
    <row r="35" spans="1:12" x14ac:dyDescent="0.35">
      <c r="A35" s="13">
        <v>2019</v>
      </c>
      <c r="B35" s="14" t="s">
        <v>36</v>
      </c>
      <c r="C35" s="14" t="s">
        <v>20</v>
      </c>
      <c r="D35" s="14" t="s">
        <v>14</v>
      </c>
      <c r="E35" s="15">
        <v>12535</v>
      </c>
      <c r="F35" s="16">
        <v>28466176.109999999</v>
      </c>
      <c r="G35" s="14">
        <v>2.09</v>
      </c>
      <c r="H35" s="14">
        <v>55.61</v>
      </c>
      <c r="I35" s="14">
        <v>31.12</v>
      </c>
      <c r="J35" s="14">
        <v>111.28</v>
      </c>
      <c r="K35" s="14">
        <v>47.14</v>
      </c>
      <c r="L35" s="17" t="s">
        <v>17</v>
      </c>
    </row>
    <row r="36" spans="1:12" x14ac:dyDescent="0.35">
      <c r="A36" s="8">
        <v>2019</v>
      </c>
      <c r="B36" s="9" t="s">
        <v>36</v>
      </c>
      <c r="C36" s="9" t="s">
        <v>22</v>
      </c>
      <c r="D36" s="9" t="s">
        <v>14</v>
      </c>
      <c r="E36" s="10">
        <v>20683</v>
      </c>
      <c r="F36" s="11">
        <v>15828498.960000001</v>
      </c>
      <c r="G36" s="9">
        <v>0.34</v>
      </c>
      <c r="H36" s="9">
        <v>30.32</v>
      </c>
      <c r="I36" s="9">
        <v>-0.65</v>
      </c>
      <c r="J36" s="9">
        <v>239.67</v>
      </c>
      <c r="K36" s="9">
        <v>46.13</v>
      </c>
      <c r="L36" s="12" t="s">
        <v>27</v>
      </c>
    </row>
    <row r="37" spans="1:12" x14ac:dyDescent="0.35">
      <c r="A37" s="13">
        <v>2019</v>
      </c>
      <c r="B37" s="14" t="s">
        <v>36</v>
      </c>
      <c r="C37" s="14" t="s">
        <v>23</v>
      </c>
      <c r="D37" s="14" t="s">
        <v>24</v>
      </c>
      <c r="E37" s="15">
        <v>57404</v>
      </c>
      <c r="F37" s="16">
        <v>22248956.960000001</v>
      </c>
      <c r="G37" s="14">
        <v>6.12</v>
      </c>
      <c r="H37" s="14">
        <v>83.5</v>
      </c>
      <c r="I37" s="14">
        <v>46.57</v>
      </c>
      <c r="J37" s="14">
        <v>211.08</v>
      </c>
      <c r="K37" s="14">
        <v>58.89</v>
      </c>
      <c r="L37" s="17" t="s">
        <v>27</v>
      </c>
    </row>
    <row r="38" spans="1:12" x14ac:dyDescent="0.35">
      <c r="A38" s="8">
        <v>2019</v>
      </c>
      <c r="B38" s="9" t="s">
        <v>36</v>
      </c>
      <c r="C38" s="9" t="s">
        <v>25</v>
      </c>
      <c r="D38" s="9" t="s">
        <v>24</v>
      </c>
      <c r="E38" s="10">
        <v>56869</v>
      </c>
      <c r="F38" s="11">
        <v>78970161.311999902</v>
      </c>
      <c r="G38" s="9">
        <v>6.12</v>
      </c>
      <c r="H38" s="9">
        <v>102.54</v>
      </c>
      <c r="I38" s="9">
        <v>21.09</v>
      </c>
      <c r="J38" s="9">
        <v>83.18</v>
      </c>
      <c r="K38" s="9">
        <v>94.7</v>
      </c>
      <c r="L38" s="12" t="s">
        <v>17</v>
      </c>
    </row>
    <row r="39" spans="1:12" x14ac:dyDescent="0.35">
      <c r="A39" s="13">
        <v>2019</v>
      </c>
      <c r="B39" s="14" t="s">
        <v>36</v>
      </c>
      <c r="C39" s="14" t="s">
        <v>26</v>
      </c>
      <c r="D39" s="14" t="s">
        <v>24</v>
      </c>
      <c r="E39" s="15">
        <v>6542</v>
      </c>
      <c r="F39" s="16">
        <v>13222480.68</v>
      </c>
      <c r="G39" s="14">
        <v>3.5</v>
      </c>
      <c r="H39" s="14">
        <v>88.84</v>
      </c>
      <c r="I39" s="14">
        <v>26.74</v>
      </c>
      <c r="J39" s="14">
        <v>115.63</v>
      </c>
      <c r="K39" s="14">
        <v>54.75</v>
      </c>
      <c r="L39" s="17" t="s">
        <v>15</v>
      </c>
    </row>
    <row r="40" spans="1:12" x14ac:dyDescent="0.35">
      <c r="A40" s="8">
        <v>2019</v>
      </c>
      <c r="B40" s="9" t="s">
        <v>36</v>
      </c>
      <c r="C40" s="9" t="s">
        <v>28</v>
      </c>
      <c r="D40" s="9" t="s">
        <v>24</v>
      </c>
      <c r="E40" s="10">
        <v>57951</v>
      </c>
      <c r="F40" s="11">
        <v>41600297.390000001</v>
      </c>
      <c r="G40" s="9">
        <v>2.72</v>
      </c>
      <c r="H40" s="9">
        <v>55.58</v>
      </c>
      <c r="I40" s="9">
        <v>17.57</v>
      </c>
      <c r="J40" s="9">
        <v>184.77</v>
      </c>
      <c r="K40" s="9">
        <v>67.900000000000006</v>
      </c>
      <c r="L40" s="12" t="s">
        <v>15</v>
      </c>
    </row>
    <row r="41" spans="1:12" x14ac:dyDescent="0.35">
      <c r="A41" s="13">
        <v>2019</v>
      </c>
      <c r="B41" s="14" t="s">
        <v>36</v>
      </c>
      <c r="C41" s="14" t="s">
        <v>29</v>
      </c>
      <c r="D41" s="14" t="s">
        <v>24</v>
      </c>
      <c r="E41" s="15">
        <v>25004</v>
      </c>
      <c r="F41" s="16">
        <v>28940719.489999998</v>
      </c>
      <c r="G41" s="14">
        <v>6.33</v>
      </c>
      <c r="H41" s="14">
        <v>45.56</v>
      </c>
      <c r="I41" s="14">
        <v>44.29</v>
      </c>
      <c r="J41" s="14">
        <v>124.19</v>
      </c>
      <c r="K41" s="14">
        <v>54.15</v>
      </c>
      <c r="L41" s="17" t="s">
        <v>27</v>
      </c>
    </row>
    <row r="42" spans="1:12" x14ac:dyDescent="0.35">
      <c r="A42" s="8">
        <v>2019</v>
      </c>
      <c r="B42" s="9" t="s">
        <v>36</v>
      </c>
      <c r="C42" s="9" t="s">
        <v>30</v>
      </c>
      <c r="D42" s="9" t="s">
        <v>24</v>
      </c>
      <c r="E42" s="10">
        <v>15756</v>
      </c>
      <c r="F42" s="11">
        <v>19796585.920000002</v>
      </c>
      <c r="G42" s="9">
        <v>3.58</v>
      </c>
      <c r="H42" s="9">
        <v>76.64</v>
      </c>
      <c r="I42" s="9">
        <v>36.22</v>
      </c>
      <c r="J42" s="9">
        <v>206.39</v>
      </c>
      <c r="K42" s="9">
        <v>88.16</v>
      </c>
      <c r="L42" s="12" t="s">
        <v>19</v>
      </c>
    </row>
    <row r="43" spans="1:12" x14ac:dyDescent="0.35">
      <c r="A43" s="13">
        <v>2019</v>
      </c>
      <c r="B43" s="14" t="s">
        <v>36</v>
      </c>
      <c r="C43" s="14" t="s">
        <v>31</v>
      </c>
      <c r="D43" s="14" t="s">
        <v>24</v>
      </c>
      <c r="E43" s="15">
        <v>56418</v>
      </c>
      <c r="F43" s="16">
        <v>53656997.799999997</v>
      </c>
      <c r="G43" s="14">
        <v>6.91</v>
      </c>
      <c r="H43" s="14">
        <v>54.03</v>
      </c>
      <c r="I43" s="14">
        <v>24.27</v>
      </c>
      <c r="J43" s="14">
        <v>61.49</v>
      </c>
      <c r="K43" s="14">
        <v>87.97</v>
      </c>
      <c r="L43" s="17" t="s">
        <v>19</v>
      </c>
    </row>
    <row r="44" spans="1:12" x14ac:dyDescent="0.35">
      <c r="A44" s="8">
        <v>2019</v>
      </c>
      <c r="B44" s="9" t="s">
        <v>36</v>
      </c>
      <c r="C44" s="9" t="s">
        <v>32</v>
      </c>
      <c r="D44" s="9" t="s">
        <v>24</v>
      </c>
      <c r="E44" s="10">
        <v>30819</v>
      </c>
      <c r="F44" s="11">
        <v>60274563.340000004</v>
      </c>
      <c r="G44" s="9">
        <v>3.44</v>
      </c>
      <c r="H44" s="9">
        <v>41.17</v>
      </c>
      <c r="I44" s="9">
        <v>26.42</v>
      </c>
      <c r="J44" s="9">
        <v>199.68</v>
      </c>
      <c r="K44" s="9">
        <v>61.6</v>
      </c>
      <c r="L44" s="12" t="s">
        <v>21</v>
      </c>
    </row>
    <row r="45" spans="1:12" x14ac:dyDescent="0.35">
      <c r="A45" s="13">
        <v>2019</v>
      </c>
      <c r="B45" s="14" t="s">
        <v>36</v>
      </c>
      <c r="C45" s="14" t="s">
        <v>33</v>
      </c>
      <c r="D45" s="14" t="s">
        <v>24</v>
      </c>
      <c r="E45" s="15">
        <v>18284</v>
      </c>
      <c r="F45" s="16">
        <v>26788292.559999999</v>
      </c>
      <c r="G45" s="14">
        <v>6.45</v>
      </c>
      <c r="H45" s="14">
        <v>80</v>
      </c>
      <c r="I45" s="14">
        <v>23.63</v>
      </c>
      <c r="J45" s="14">
        <v>137.72999999999999</v>
      </c>
      <c r="K45" s="14">
        <v>81.319999999999993</v>
      </c>
      <c r="L45" s="17" t="s">
        <v>17</v>
      </c>
    </row>
    <row r="46" spans="1:12" x14ac:dyDescent="0.35">
      <c r="A46" s="8">
        <v>2019</v>
      </c>
      <c r="B46" s="9" t="s">
        <v>36</v>
      </c>
      <c r="C46" s="9" t="s">
        <v>34</v>
      </c>
      <c r="D46" s="9" t="s">
        <v>24</v>
      </c>
      <c r="E46" s="10">
        <v>48617</v>
      </c>
      <c r="F46" s="11">
        <v>6134803.4639999997</v>
      </c>
      <c r="G46" s="9">
        <v>6.48</v>
      </c>
      <c r="H46" s="9">
        <v>91.79</v>
      </c>
      <c r="I46" s="9">
        <v>54.94</v>
      </c>
      <c r="J46" s="9">
        <v>88.28</v>
      </c>
      <c r="K46" s="9">
        <v>82.55</v>
      </c>
      <c r="L46" s="12" t="s">
        <v>17</v>
      </c>
    </row>
    <row r="47" spans="1:12" x14ac:dyDescent="0.35">
      <c r="A47" s="13">
        <v>2019</v>
      </c>
      <c r="B47" s="14" t="s">
        <v>37</v>
      </c>
      <c r="C47" s="14" t="s">
        <v>13</v>
      </c>
      <c r="D47" s="14" t="s">
        <v>14</v>
      </c>
      <c r="E47" s="15">
        <v>30040</v>
      </c>
      <c r="F47" s="16">
        <v>34166065.189999998</v>
      </c>
      <c r="G47" s="14">
        <v>1.5699999999999901</v>
      </c>
      <c r="H47" s="14">
        <v>28.49</v>
      </c>
      <c r="I47" s="14">
        <v>47.01</v>
      </c>
      <c r="J47" s="14">
        <v>243.47</v>
      </c>
      <c r="K47" s="14">
        <v>58.24</v>
      </c>
      <c r="L47" s="17" t="s">
        <v>21</v>
      </c>
    </row>
    <row r="48" spans="1:12" x14ac:dyDescent="0.35">
      <c r="A48" s="8">
        <v>2019</v>
      </c>
      <c r="B48" s="9" t="s">
        <v>37</v>
      </c>
      <c r="C48" s="9" t="s">
        <v>16</v>
      </c>
      <c r="D48" s="9" t="s">
        <v>14</v>
      </c>
      <c r="E48" s="10">
        <v>40978</v>
      </c>
      <c r="F48" s="11">
        <v>52202051.460000001</v>
      </c>
      <c r="G48" s="9">
        <v>0.34</v>
      </c>
      <c r="H48" s="9">
        <v>39.979999999999997</v>
      </c>
      <c r="I48" s="9">
        <v>44.96</v>
      </c>
      <c r="J48" s="9">
        <v>130.25</v>
      </c>
      <c r="K48" s="9">
        <v>45.44</v>
      </c>
      <c r="L48" s="12" t="s">
        <v>27</v>
      </c>
    </row>
    <row r="49" spans="1:12" x14ac:dyDescent="0.35">
      <c r="A49" s="13">
        <v>2019</v>
      </c>
      <c r="B49" s="14" t="s">
        <v>37</v>
      </c>
      <c r="C49" s="14" t="s">
        <v>18</v>
      </c>
      <c r="D49" s="14" t="s">
        <v>14</v>
      </c>
      <c r="E49" s="15">
        <v>46113</v>
      </c>
      <c r="F49" s="16">
        <v>23485210.48</v>
      </c>
      <c r="G49" s="14">
        <v>1.89</v>
      </c>
      <c r="H49" s="14">
        <v>69.900000000000006</v>
      </c>
      <c r="I49" s="14">
        <v>13.34</v>
      </c>
      <c r="J49" s="14">
        <v>167.31</v>
      </c>
      <c r="K49" s="14">
        <v>45.48</v>
      </c>
      <c r="L49" s="17" t="s">
        <v>27</v>
      </c>
    </row>
    <row r="50" spans="1:12" x14ac:dyDescent="0.35">
      <c r="A50" s="8">
        <v>2019</v>
      </c>
      <c r="B50" s="9" t="s">
        <v>37</v>
      </c>
      <c r="C50" s="9" t="s">
        <v>20</v>
      </c>
      <c r="D50" s="9" t="s">
        <v>14</v>
      </c>
      <c r="E50" s="10">
        <v>8438</v>
      </c>
      <c r="F50" s="11">
        <v>35324703.520000003</v>
      </c>
      <c r="G50" s="9">
        <v>2.29</v>
      </c>
      <c r="H50" s="9">
        <v>80.900000000000006</v>
      </c>
      <c r="I50" s="9">
        <v>10.53</v>
      </c>
      <c r="J50" s="9">
        <v>80.150000000000006</v>
      </c>
      <c r="K50" s="9">
        <v>75.72</v>
      </c>
      <c r="L50" s="12" t="s">
        <v>19</v>
      </c>
    </row>
    <row r="51" spans="1:12" x14ac:dyDescent="0.35">
      <c r="A51" s="13">
        <v>2019</v>
      </c>
      <c r="B51" s="14" t="s">
        <v>37</v>
      </c>
      <c r="C51" s="14" t="s">
        <v>22</v>
      </c>
      <c r="D51" s="14" t="s">
        <v>14</v>
      </c>
      <c r="E51" s="15">
        <v>23500</v>
      </c>
      <c r="F51" s="16">
        <v>33337345.93</v>
      </c>
      <c r="G51" s="14">
        <v>3.74</v>
      </c>
      <c r="H51" s="14">
        <v>33.06</v>
      </c>
      <c r="I51" s="14">
        <v>18.7</v>
      </c>
      <c r="J51" s="14">
        <v>73.31</v>
      </c>
      <c r="K51" s="14">
        <v>70.739999999999995</v>
      </c>
      <c r="L51" s="17" t="s">
        <v>27</v>
      </c>
    </row>
    <row r="52" spans="1:12" x14ac:dyDescent="0.35">
      <c r="A52" s="8">
        <v>2019</v>
      </c>
      <c r="B52" s="9" t="s">
        <v>37</v>
      </c>
      <c r="C52" s="9" t="s">
        <v>23</v>
      </c>
      <c r="D52" s="9" t="s">
        <v>24</v>
      </c>
      <c r="E52" s="10">
        <v>40164</v>
      </c>
      <c r="F52" s="11">
        <v>21739755.84</v>
      </c>
      <c r="G52" s="9">
        <v>3.76</v>
      </c>
      <c r="H52" s="9">
        <v>50.13</v>
      </c>
      <c r="I52" s="9">
        <v>13.99</v>
      </c>
      <c r="J52" s="9">
        <v>210.05</v>
      </c>
      <c r="K52" s="9">
        <v>58.83</v>
      </c>
      <c r="L52" s="12" t="s">
        <v>17</v>
      </c>
    </row>
    <row r="53" spans="1:12" x14ac:dyDescent="0.35">
      <c r="A53" s="13">
        <v>2019</v>
      </c>
      <c r="B53" s="14" t="s">
        <v>37</v>
      </c>
      <c r="C53" s="14" t="s">
        <v>25</v>
      </c>
      <c r="D53" s="14" t="s">
        <v>24</v>
      </c>
      <c r="E53" s="15">
        <v>53367</v>
      </c>
      <c r="F53" s="16">
        <v>69827344.420000002</v>
      </c>
      <c r="G53" s="14">
        <v>6.1</v>
      </c>
      <c r="H53" s="14">
        <v>95.93</v>
      </c>
      <c r="I53" s="14">
        <v>47.57</v>
      </c>
      <c r="J53" s="14">
        <v>185.7</v>
      </c>
      <c r="K53" s="14">
        <v>93.45</v>
      </c>
      <c r="L53" s="17" t="s">
        <v>21</v>
      </c>
    </row>
    <row r="54" spans="1:12" x14ac:dyDescent="0.35">
      <c r="A54" s="8">
        <v>2019</v>
      </c>
      <c r="B54" s="9" t="s">
        <v>37</v>
      </c>
      <c r="C54" s="9" t="s">
        <v>26</v>
      </c>
      <c r="D54" s="9" t="s">
        <v>24</v>
      </c>
      <c r="E54" s="10">
        <v>37612</v>
      </c>
      <c r="F54" s="11">
        <v>34802846.640000001</v>
      </c>
      <c r="G54" s="9">
        <v>2.5299999999999998</v>
      </c>
      <c r="H54" s="9">
        <v>66.459999999999994</v>
      </c>
      <c r="I54" s="9">
        <v>24.02</v>
      </c>
      <c r="J54" s="9">
        <v>120.07</v>
      </c>
      <c r="K54" s="9">
        <v>87.24</v>
      </c>
      <c r="L54" s="12" t="s">
        <v>19</v>
      </c>
    </row>
    <row r="55" spans="1:12" x14ac:dyDescent="0.35">
      <c r="A55" s="13">
        <v>2019</v>
      </c>
      <c r="B55" s="14" t="s">
        <v>37</v>
      </c>
      <c r="C55" s="14" t="s">
        <v>28</v>
      </c>
      <c r="D55" s="14" t="s">
        <v>24</v>
      </c>
      <c r="E55" s="15">
        <v>31445</v>
      </c>
      <c r="F55" s="16">
        <v>62662104.5</v>
      </c>
      <c r="G55" s="14">
        <v>4.8599999999999897</v>
      </c>
      <c r="H55" s="14">
        <v>61.44</v>
      </c>
      <c r="I55" s="14">
        <v>27.46</v>
      </c>
      <c r="J55" s="14">
        <v>183.03</v>
      </c>
      <c r="K55" s="14">
        <v>72.209999999999994</v>
      </c>
      <c r="L55" s="17" t="s">
        <v>15</v>
      </c>
    </row>
    <row r="56" spans="1:12" x14ac:dyDescent="0.35">
      <c r="A56" s="8">
        <v>2019</v>
      </c>
      <c r="B56" s="9" t="s">
        <v>37</v>
      </c>
      <c r="C56" s="9" t="s">
        <v>29</v>
      </c>
      <c r="D56" s="9" t="s">
        <v>24</v>
      </c>
      <c r="E56" s="10">
        <v>34541</v>
      </c>
      <c r="F56" s="11">
        <v>23308775.82</v>
      </c>
      <c r="G56" s="9">
        <v>4.0299999999999896</v>
      </c>
      <c r="H56" s="9">
        <v>59.35</v>
      </c>
      <c r="I56" s="9">
        <v>8.3699999999999992</v>
      </c>
      <c r="J56" s="9">
        <v>138.66999999999999</v>
      </c>
      <c r="K56" s="9">
        <v>80.349999999999994</v>
      </c>
      <c r="L56" s="12" t="s">
        <v>17</v>
      </c>
    </row>
    <row r="57" spans="1:12" x14ac:dyDescent="0.35">
      <c r="A57" s="13">
        <v>2019</v>
      </c>
      <c r="B57" s="14" t="s">
        <v>37</v>
      </c>
      <c r="C57" s="14" t="s">
        <v>30</v>
      </c>
      <c r="D57" s="14" t="s">
        <v>24</v>
      </c>
      <c r="E57" s="15">
        <v>6719</v>
      </c>
      <c r="F57" s="16">
        <v>38311286.359999999</v>
      </c>
      <c r="G57" s="14">
        <v>5.38</v>
      </c>
      <c r="H57" s="14">
        <v>42.55</v>
      </c>
      <c r="I57" s="14">
        <v>50.32</v>
      </c>
      <c r="J57" s="14">
        <v>110.97</v>
      </c>
      <c r="K57" s="14">
        <v>87.8</v>
      </c>
      <c r="L57" s="17" t="s">
        <v>15</v>
      </c>
    </row>
    <row r="58" spans="1:12" x14ac:dyDescent="0.35">
      <c r="A58" s="8">
        <v>2019</v>
      </c>
      <c r="B58" s="9" t="s">
        <v>37</v>
      </c>
      <c r="C58" s="9" t="s">
        <v>31</v>
      </c>
      <c r="D58" s="9" t="s">
        <v>24</v>
      </c>
      <c r="E58" s="10">
        <v>32919</v>
      </c>
      <c r="F58" s="11">
        <v>38143238.390000001</v>
      </c>
      <c r="G58" s="9">
        <v>6.62</v>
      </c>
      <c r="H58" s="9">
        <v>79.48</v>
      </c>
      <c r="I58" s="9">
        <v>45.85</v>
      </c>
      <c r="J58" s="9">
        <v>295.62</v>
      </c>
      <c r="K58" s="9">
        <v>58.71</v>
      </c>
      <c r="L58" s="12" t="s">
        <v>21</v>
      </c>
    </row>
    <row r="59" spans="1:12" x14ac:dyDescent="0.35">
      <c r="A59" s="13">
        <v>2019</v>
      </c>
      <c r="B59" s="14" t="s">
        <v>37</v>
      </c>
      <c r="C59" s="14" t="s">
        <v>32</v>
      </c>
      <c r="D59" s="14" t="s">
        <v>24</v>
      </c>
      <c r="E59" s="15">
        <v>46371</v>
      </c>
      <c r="F59" s="16">
        <v>71988709.969999999</v>
      </c>
      <c r="G59" s="14">
        <v>3.21</v>
      </c>
      <c r="H59" s="14">
        <v>88.89</v>
      </c>
      <c r="I59" s="14">
        <v>48.87</v>
      </c>
      <c r="J59" s="14">
        <v>265.70999999999998</v>
      </c>
      <c r="K59" s="14">
        <v>90.81</v>
      </c>
      <c r="L59" s="17" t="s">
        <v>27</v>
      </c>
    </row>
    <row r="60" spans="1:12" x14ac:dyDescent="0.35">
      <c r="A60" s="8">
        <v>2019</v>
      </c>
      <c r="B60" s="9" t="s">
        <v>37</v>
      </c>
      <c r="C60" s="9" t="s">
        <v>33</v>
      </c>
      <c r="D60" s="9" t="s">
        <v>24</v>
      </c>
      <c r="E60" s="10">
        <v>40084</v>
      </c>
      <c r="F60" s="11">
        <v>17163852.827999901</v>
      </c>
      <c r="G60" s="9">
        <v>6.33</v>
      </c>
      <c r="H60" s="9">
        <v>42.8</v>
      </c>
      <c r="I60" s="9">
        <v>48.55</v>
      </c>
      <c r="J60" s="9">
        <v>156.88</v>
      </c>
      <c r="K60" s="9">
        <v>53.55</v>
      </c>
      <c r="L60" s="12" t="s">
        <v>15</v>
      </c>
    </row>
    <row r="61" spans="1:12" x14ac:dyDescent="0.35">
      <c r="A61" s="13">
        <v>2019</v>
      </c>
      <c r="B61" s="14" t="s">
        <v>37</v>
      </c>
      <c r="C61" s="14" t="s">
        <v>34</v>
      </c>
      <c r="D61" s="14" t="s">
        <v>24</v>
      </c>
      <c r="E61" s="15">
        <v>20192</v>
      </c>
      <c r="F61" s="16">
        <v>14639182.699999999</v>
      </c>
      <c r="G61" s="14">
        <v>4.6099999999999897</v>
      </c>
      <c r="H61" s="14">
        <v>48.26</v>
      </c>
      <c r="I61" s="14">
        <v>50.86</v>
      </c>
      <c r="J61" s="14">
        <v>195.2</v>
      </c>
      <c r="K61" s="14">
        <v>60.91</v>
      </c>
      <c r="L61" s="17" t="s">
        <v>17</v>
      </c>
    </row>
    <row r="62" spans="1:12" x14ac:dyDescent="0.35">
      <c r="A62" s="13">
        <v>2020</v>
      </c>
      <c r="B62" s="14" t="s">
        <v>12</v>
      </c>
      <c r="C62" s="14" t="s">
        <v>13</v>
      </c>
      <c r="D62" s="14" t="s">
        <v>14</v>
      </c>
      <c r="E62" s="15">
        <v>17825</v>
      </c>
      <c r="F62" s="16">
        <v>37347187.770000003</v>
      </c>
      <c r="G62" s="14">
        <v>0.159999999999999</v>
      </c>
      <c r="H62" s="14">
        <v>62.97</v>
      </c>
      <c r="I62" s="14">
        <v>26.44</v>
      </c>
      <c r="J62" s="14">
        <v>245.48</v>
      </c>
      <c r="K62" s="14">
        <v>75.23</v>
      </c>
      <c r="L62" s="17" t="s">
        <v>27</v>
      </c>
    </row>
    <row r="63" spans="1:12" x14ac:dyDescent="0.35">
      <c r="A63" s="8">
        <v>2020</v>
      </c>
      <c r="B63" s="9" t="s">
        <v>12</v>
      </c>
      <c r="C63" s="9" t="s">
        <v>16</v>
      </c>
      <c r="D63" s="9" t="s">
        <v>14</v>
      </c>
      <c r="E63" s="10">
        <v>21472</v>
      </c>
      <c r="F63" s="11">
        <v>34965645.310000002</v>
      </c>
      <c r="G63" s="9">
        <v>0.25</v>
      </c>
      <c r="H63" s="9">
        <v>49.22</v>
      </c>
      <c r="I63" s="9">
        <v>24.99</v>
      </c>
      <c r="J63" s="9">
        <v>247.01</v>
      </c>
      <c r="K63" s="9">
        <v>80.17</v>
      </c>
      <c r="L63" s="12" t="s">
        <v>17</v>
      </c>
    </row>
    <row r="64" spans="1:12" x14ac:dyDescent="0.35">
      <c r="A64" s="13">
        <v>2020</v>
      </c>
      <c r="B64" s="14" t="s">
        <v>12</v>
      </c>
      <c r="C64" s="14" t="s">
        <v>18</v>
      </c>
      <c r="D64" s="14" t="s">
        <v>14</v>
      </c>
      <c r="E64" s="15">
        <v>35641</v>
      </c>
      <c r="F64" s="16">
        <v>48775290.390000001</v>
      </c>
      <c r="G64" s="14">
        <v>3.88</v>
      </c>
      <c r="H64" s="14">
        <v>60.51</v>
      </c>
      <c r="I64" s="14">
        <v>6.1</v>
      </c>
      <c r="J64" s="14">
        <v>196.59</v>
      </c>
      <c r="K64" s="14">
        <v>78.94</v>
      </c>
      <c r="L64" s="17" t="s">
        <v>21</v>
      </c>
    </row>
    <row r="65" spans="1:12" x14ac:dyDescent="0.35">
      <c r="A65" s="8">
        <v>2020</v>
      </c>
      <c r="B65" s="9" t="s">
        <v>12</v>
      </c>
      <c r="C65" s="9" t="s">
        <v>20</v>
      </c>
      <c r="D65" s="9" t="s">
        <v>14</v>
      </c>
      <c r="E65" s="10">
        <v>18960</v>
      </c>
      <c r="F65" s="11">
        <v>25972084.140000001</v>
      </c>
      <c r="G65" s="9">
        <v>0.53</v>
      </c>
      <c r="H65" s="9">
        <v>72.69</v>
      </c>
      <c r="I65" s="9">
        <v>26.51</v>
      </c>
      <c r="J65" s="9">
        <v>157.1</v>
      </c>
      <c r="K65" s="9">
        <v>53.68</v>
      </c>
      <c r="L65" s="12" t="s">
        <v>17</v>
      </c>
    </row>
    <row r="66" spans="1:12" x14ac:dyDescent="0.35">
      <c r="A66" s="13">
        <v>2020</v>
      </c>
      <c r="B66" s="14" t="s">
        <v>12</v>
      </c>
      <c r="C66" s="14" t="s">
        <v>22</v>
      </c>
      <c r="D66" s="14" t="s">
        <v>14</v>
      </c>
      <c r="E66" s="15">
        <v>18546</v>
      </c>
      <c r="F66" s="16">
        <v>42315159.990000002</v>
      </c>
      <c r="G66" s="14">
        <v>1.81</v>
      </c>
      <c r="H66" s="14">
        <v>58.09</v>
      </c>
      <c r="I66" s="14">
        <v>33.08</v>
      </c>
      <c r="J66" s="14">
        <v>110.9</v>
      </c>
      <c r="K66" s="14">
        <v>49.63</v>
      </c>
      <c r="L66" s="17" t="s">
        <v>17</v>
      </c>
    </row>
    <row r="67" spans="1:12" x14ac:dyDescent="0.35">
      <c r="A67" s="8">
        <v>2020</v>
      </c>
      <c r="B67" s="9" t="s">
        <v>12</v>
      </c>
      <c r="C67" s="9" t="s">
        <v>23</v>
      </c>
      <c r="D67" s="9" t="s">
        <v>24</v>
      </c>
      <c r="E67" s="10">
        <v>42883</v>
      </c>
      <c r="F67" s="11">
        <v>18588730.370000001</v>
      </c>
      <c r="G67" s="9">
        <v>6.37</v>
      </c>
      <c r="H67" s="9">
        <v>72.87</v>
      </c>
      <c r="I67" s="9">
        <v>45.86</v>
      </c>
      <c r="J67" s="9">
        <v>273.58999999999997</v>
      </c>
      <c r="K67" s="9">
        <v>52.9</v>
      </c>
      <c r="L67" s="12" t="s">
        <v>15</v>
      </c>
    </row>
    <row r="68" spans="1:12" x14ac:dyDescent="0.35">
      <c r="A68" s="13">
        <v>2020</v>
      </c>
      <c r="B68" s="14" t="s">
        <v>12</v>
      </c>
      <c r="C68" s="14" t="s">
        <v>25</v>
      </c>
      <c r="D68" s="14" t="s">
        <v>24</v>
      </c>
      <c r="E68" s="15">
        <v>49662</v>
      </c>
      <c r="F68" s="16">
        <v>52134225.079999998</v>
      </c>
      <c r="G68" s="14">
        <v>2.9</v>
      </c>
      <c r="H68" s="14">
        <v>96.42</v>
      </c>
      <c r="I68" s="14">
        <v>52.2</v>
      </c>
      <c r="J68" s="14">
        <v>187.23</v>
      </c>
      <c r="K68" s="14">
        <v>76.5</v>
      </c>
      <c r="L68" s="17" t="s">
        <v>19</v>
      </c>
    </row>
    <row r="69" spans="1:12" x14ac:dyDescent="0.35">
      <c r="A69" s="8">
        <v>2020</v>
      </c>
      <c r="B69" s="9" t="s">
        <v>12</v>
      </c>
      <c r="C69" s="9" t="s">
        <v>26</v>
      </c>
      <c r="D69" s="9" t="s">
        <v>24</v>
      </c>
      <c r="E69" s="10">
        <v>48484</v>
      </c>
      <c r="F69" s="11">
        <v>10752134.16</v>
      </c>
      <c r="G69" s="9">
        <v>3.75</v>
      </c>
      <c r="H69" s="9">
        <v>41.49</v>
      </c>
      <c r="I69" s="9">
        <v>10.67</v>
      </c>
      <c r="J69" s="9">
        <v>87.88</v>
      </c>
      <c r="K69" s="9">
        <v>79.09</v>
      </c>
      <c r="L69" s="12" t="s">
        <v>19</v>
      </c>
    </row>
    <row r="70" spans="1:12" x14ac:dyDescent="0.35">
      <c r="A70" s="13">
        <v>2020</v>
      </c>
      <c r="B70" s="14" t="s">
        <v>12</v>
      </c>
      <c r="C70" s="14" t="s">
        <v>28</v>
      </c>
      <c r="D70" s="14" t="s">
        <v>24</v>
      </c>
      <c r="E70" s="15">
        <v>11438</v>
      </c>
      <c r="F70" s="16">
        <v>56002244.289999999</v>
      </c>
      <c r="G70" s="14">
        <v>6.33</v>
      </c>
      <c r="H70" s="14">
        <v>93.95</v>
      </c>
      <c r="I70" s="14">
        <v>52.02</v>
      </c>
      <c r="J70" s="14">
        <v>168.24</v>
      </c>
      <c r="K70" s="14">
        <v>63.04</v>
      </c>
      <c r="L70" s="17" t="s">
        <v>15</v>
      </c>
    </row>
    <row r="71" spans="1:12" x14ac:dyDescent="0.35">
      <c r="A71" s="8">
        <v>2020</v>
      </c>
      <c r="B71" s="9" t="s">
        <v>12</v>
      </c>
      <c r="C71" s="9" t="s">
        <v>29</v>
      </c>
      <c r="D71" s="9" t="s">
        <v>24</v>
      </c>
      <c r="E71" s="10">
        <v>58199</v>
      </c>
      <c r="F71" s="11">
        <v>35481161.409999996</v>
      </c>
      <c r="G71" s="9">
        <v>5.66</v>
      </c>
      <c r="H71" s="9">
        <v>42.96</v>
      </c>
      <c r="I71" s="9">
        <v>27.95</v>
      </c>
      <c r="J71" s="9">
        <v>151.66</v>
      </c>
      <c r="K71" s="9">
        <v>52.29</v>
      </c>
      <c r="L71" s="12" t="s">
        <v>17</v>
      </c>
    </row>
    <row r="72" spans="1:12" x14ac:dyDescent="0.35">
      <c r="A72" s="13">
        <v>2020</v>
      </c>
      <c r="B72" s="14" t="s">
        <v>12</v>
      </c>
      <c r="C72" s="14" t="s">
        <v>30</v>
      </c>
      <c r="D72" s="14" t="s">
        <v>24</v>
      </c>
      <c r="E72" s="15">
        <v>40807</v>
      </c>
      <c r="F72" s="16">
        <v>28409469.32</v>
      </c>
      <c r="G72" s="14">
        <v>3.04</v>
      </c>
      <c r="H72" s="14">
        <v>47.56</v>
      </c>
      <c r="I72" s="14">
        <v>33.590000000000003</v>
      </c>
      <c r="J72" s="14">
        <v>95.38</v>
      </c>
      <c r="K72" s="14">
        <v>57.91</v>
      </c>
      <c r="L72" s="17" t="s">
        <v>17</v>
      </c>
    </row>
    <row r="73" spans="1:12" x14ac:dyDescent="0.35">
      <c r="A73" s="8">
        <v>2020</v>
      </c>
      <c r="B73" s="9" t="s">
        <v>12</v>
      </c>
      <c r="C73" s="9" t="s">
        <v>31</v>
      </c>
      <c r="D73" s="9" t="s">
        <v>24</v>
      </c>
      <c r="E73" s="10">
        <v>27476</v>
      </c>
      <c r="F73" s="11">
        <v>29188076.98</v>
      </c>
      <c r="G73" s="9">
        <v>4.96</v>
      </c>
      <c r="H73" s="9">
        <v>54.96</v>
      </c>
      <c r="I73" s="9">
        <v>34.619999999999997</v>
      </c>
      <c r="J73" s="9">
        <v>228.07</v>
      </c>
      <c r="K73" s="9">
        <v>69.239999999999995</v>
      </c>
      <c r="L73" s="12" t="s">
        <v>21</v>
      </c>
    </row>
    <row r="74" spans="1:12" x14ac:dyDescent="0.35">
      <c r="A74" s="13">
        <v>2020</v>
      </c>
      <c r="B74" s="14" t="s">
        <v>12</v>
      </c>
      <c r="C74" s="14" t="s">
        <v>32</v>
      </c>
      <c r="D74" s="14" t="s">
        <v>24</v>
      </c>
      <c r="E74" s="15">
        <v>25491</v>
      </c>
      <c r="F74" s="16">
        <v>13470114.800000001</v>
      </c>
      <c r="G74" s="14">
        <v>6.6</v>
      </c>
      <c r="H74" s="14">
        <v>70</v>
      </c>
      <c r="I74" s="14">
        <v>41.55</v>
      </c>
      <c r="J74" s="14">
        <v>54.56</v>
      </c>
      <c r="K74" s="14">
        <v>66.45</v>
      </c>
      <c r="L74" s="17" t="s">
        <v>19</v>
      </c>
    </row>
    <row r="75" spans="1:12" x14ac:dyDescent="0.35">
      <c r="A75" s="8">
        <v>2020</v>
      </c>
      <c r="B75" s="9" t="s">
        <v>12</v>
      </c>
      <c r="C75" s="9" t="s">
        <v>33</v>
      </c>
      <c r="D75" s="9" t="s">
        <v>24</v>
      </c>
      <c r="E75" s="10">
        <v>57319</v>
      </c>
      <c r="F75" s="11">
        <v>64038833.049999997</v>
      </c>
      <c r="G75" s="9">
        <v>5.25</v>
      </c>
      <c r="H75" s="9">
        <v>98.77</v>
      </c>
      <c r="I75" s="9">
        <v>44.44</v>
      </c>
      <c r="J75" s="9">
        <v>187.76</v>
      </c>
      <c r="K75" s="9">
        <v>51.45</v>
      </c>
      <c r="L75" s="12" t="s">
        <v>21</v>
      </c>
    </row>
    <row r="76" spans="1:12" x14ac:dyDescent="0.35">
      <c r="A76" s="13">
        <v>2020</v>
      </c>
      <c r="B76" s="14" t="s">
        <v>12</v>
      </c>
      <c r="C76" s="14" t="s">
        <v>34</v>
      </c>
      <c r="D76" s="14" t="s">
        <v>24</v>
      </c>
      <c r="E76" s="15">
        <v>53118</v>
      </c>
      <c r="F76" s="16">
        <v>71564619.920000002</v>
      </c>
      <c r="G76" s="14">
        <v>4.21</v>
      </c>
      <c r="H76" s="14">
        <v>103.57</v>
      </c>
      <c r="I76" s="14">
        <v>52.17</v>
      </c>
      <c r="J76" s="14">
        <v>120.41</v>
      </c>
      <c r="K76" s="14">
        <v>76.81</v>
      </c>
      <c r="L76" s="17" t="s">
        <v>21</v>
      </c>
    </row>
    <row r="77" spans="1:12" x14ac:dyDescent="0.35">
      <c r="A77" s="8">
        <v>2020</v>
      </c>
      <c r="B77" s="9" t="s">
        <v>35</v>
      </c>
      <c r="C77" s="9" t="s">
        <v>13</v>
      </c>
      <c r="D77" s="9" t="s">
        <v>14</v>
      </c>
      <c r="E77" s="10">
        <v>21197</v>
      </c>
      <c r="F77" s="11">
        <v>22480526.16</v>
      </c>
      <c r="G77" s="9">
        <v>1.84</v>
      </c>
      <c r="H77" s="9">
        <v>39.26</v>
      </c>
      <c r="I77" s="9">
        <v>10.62</v>
      </c>
      <c r="J77" s="9">
        <v>193.23</v>
      </c>
      <c r="K77" s="9">
        <v>38.5</v>
      </c>
      <c r="L77" s="12" t="s">
        <v>17</v>
      </c>
    </row>
    <row r="78" spans="1:12" x14ac:dyDescent="0.35">
      <c r="A78" s="13">
        <v>2020</v>
      </c>
      <c r="B78" s="14" t="s">
        <v>35</v>
      </c>
      <c r="C78" s="14" t="s">
        <v>16</v>
      </c>
      <c r="D78" s="14" t="s">
        <v>14</v>
      </c>
      <c r="E78" s="15">
        <v>8785</v>
      </c>
      <c r="F78" s="16">
        <v>16339172.24</v>
      </c>
      <c r="G78" s="14">
        <v>-0.36</v>
      </c>
      <c r="H78" s="14">
        <v>50.5</v>
      </c>
      <c r="I78" s="14">
        <v>16.16</v>
      </c>
      <c r="J78" s="14">
        <v>96.06</v>
      </c>
      <c r="K78" s="14">
        <v>70.489999999999995</v>
      </c>
      <c r="L78" s="17" t="s">
        <v>27</v>
      </c>
    </row>
    <row r="79" spans="1:12" x14ac:dyDescent="0.35">
      <c r="A79" s="8">
        <v>2020</v>
      </c>
      <c r="B79" s="9" t="s">
        <v>35</v>
      </c>
      <c r="C79" s="9" t="s">
        <v>18</v>
      </c>
      <c r="D79" s="9" t="s">
        <v>14</v>
      </c>
      <c r="E79" s="10">
        <v>43775</v>
      </c>
      <c r="F79" s="11">
        <v>10852645.859999999</v>
      </c>
      <c r="G79" s="9">
        <v>2.71</v>
      </c>
      <c r="H79" s="9">
        <v>42.03</v>
      </c>
      <c r="I79" s="9">
        <v>29.43</v>
      </c>
      <c r="J79" s="9">
        <v>282.82</v>
      </c>
      <c r="K79" s="9">
        <v>64.08</v>
      </c>
      <c r="L79" s="12" t="s">
        <v>27</v>
      </c>
    </row>
    <row r="80" spans="1:12" x14ac:dyDescent="0.35">
      <c r="A80" s="13">
        <v>2020</v>
      </c>
      <c r="B80" s="14" t="s">
        <v>35</v>
      </c>
      <c r="C80" s="14" t="s">
        <v>20</v>
      </c>
      <c r="D80" s="14" t="s">
        <v>14</v>
      </c>
      <c r="E80" s="15">
        <v>29178</v>
      </c>
      <c r="F80" s="16">
        <v>41803911.049999997</v>
      </c>
      <c r="G80" s="14">
        <v>2.59</v>
      </c>
      <c r="H80" s="14">
        <v>47.84</v>
      </c>
      <c r="I80" s="14">
        <v>16.52</v>
      </c>
      <c r="J80" s="14">
        <v>134.32</v>
      </c>
      <c r="K80" s="14">
        <v>74.930000000000007</v>
      </c>
      <c r="L80" s="17" t="s">
        <v>17</v>
      </c>
    </row>
    <row r="81" spans="1:12" x14ac:dyDescent="0.35">
      <c r="A81" s="8">
        <v>2020</v>
      </c>
      <c r="B81" s="9" t="s">
        <v>35</v>
      </c>
      <c r="C81" s="9" t="s">
        <v>22</v>
      </c>
      <c r="D81" s="9" t="s">
        <v>14</v>
      </c>
      <c r="E81" s="10">
        <v>8601</v>
      </c>
      <c r="F81" s="11">
        <v>32922566.239999998</v>
      </c>
      <c r="G81" s="9">
        <v>2.99</v>
      </c>
      <c r="H81" s="9">
        <v>82.16</v>
      </c>
      <c r="I81" s="9">
        <v>47.56</v>
      </c>
      <c r="J81" s="9">
        <v>139.41999999999999</v>
      </c>
      <c r="K81" s="9">
        <v>52.96</v>
      </c>
      <c r="L81" s="12" t="s">
        <v>15</v>
      </c>
    </row>
    <row r="82" spans="1:12" x14ac:dyDescent="0.35">
      <c r="A82" s="13">
        <v>2020</v>
      </c>
      <c r="B82" s="14" t="s">
        <v>35</v>
      </c>
      <c r="C82" s="14" t="s">
        <v>23</v>
      </c>
      <c r="D82" s="14" t="s">
        <v>24</v>
      </c>
      <c r="E82" s="15">
        <v>51214</v>
      </c>
      <c r="F82" s="16">
        <v>22604101.449999999</v>
      </c>
      <c r="G82" s="14">
        <v>3.88</v>
      </c>
      <c r="H82" s="14">
        <v>98.74</v>
      </c>
      <c r="I82" s="14">
        <v>29.87</v>
      </c>
      <c r="J82" s="14">
        <v>153.44999999999999</v>
      </c>
      <c r="K82" s="14">
        <v>54.94</v>
      </c>
      <c r="L82" s="17" t="s">
        <v>21</v>
      </c>
    </row>
    <row r="83" spans="1:12" x14ac:dyDescent="0.35">
      <c r="A83" s="8">
        <v>2020</v>
      </c>
      <c r="B83" s="9" t="s">
        <v>35</v>
      </c>
      <c r="C83" s="9" t="s">
        <v>25</v>
      </c>
      <c r="D83" s="9" t="s">
        <v>24</v>
      </c>
      <c r="E83" s="10">
        <v>58086</v>
      </c>
      <c r="F83" s="11">
        <v>50254952.18</v>
      </c>
      <c r="G83" s="9">
        <v>6.19</v>
      </c>
      <c r="H83" s="9">
        <v>46.93</v>
      </c>
      <c r="I83" s="9">
        <v>40.93</v>
      </c>
      <c r="J83" s="9">
        <v>130.68</v>
      </c>
      <c r="K83" s="9">
        <v>54.46</v>
      </c>
      <c r="L83" s="12" t="s">
        <v>27</v>
      </c>
    </row>
    <row r="84" spans="1:12" x14ac:dyDescent="0.35">
      <c r="A84" s="13">
        <v>2020</v>
      </c>
      <c r="B84" s="14" t="s">
        <v>35</v>
      </c>
      <c r="C84" s="14" t="s">
        <v>26</v>
      </c>
      <c r="D84" s="14" t="s">
        <v>24</v>
      </c>
      <c r="E84" s="15">
        <v>63974</v>
      </c>
      <c r="F84" s="16">
        <v>66783552.340000004</v>
      </c>
      <c r="G84" s="14">
        <v>4.99</v>
      </c>
      <c r="H84" s="14">
        <v>43.38</v>
      </c>
      <c r="I84" s="14">
        <v>39.44</v>
      </c>
      <c r="J84" s="14">
        <v>264.14999999999998</v>
      </c>
      <c r="K84" s="14">
        <v>79.22</v>
      </c>
      <c r="L84" s="17" t="s">
        <v>19</v>
      </c>
    </row>
    <row r="85" spans="1:12" x14ac:dyDescent="0.35">
      <c r="A85" s="8">
        <v>2020</v>
      </c>
      <c r="B85" s="9" t="s">
        <v>35</v>
      </c>
      <c r="C85" s="9" t="s">
        <v>28</v>
      </c>
      <c r="D85" s="9" t="s">
        <v>24</v>
      </c>
      <c r="E85" s="10">
        <v>47829</v>
      </c>
      <c r="F85" s="11">
        <v>6077295.0480000004</v>
      </c>
      <c r="G85" s="9">
        <v>3.59</v>
      </c>
      <c r="H85" s="9">
        <v>88.79</v>
      </c>
      <c r="I85" s="9">
        <v>32.57</v>
      </c>
      <c r="J85" s="9">
        <v>175.9</v>
      </c>
      <c r="K85" s="9">
        <v>45.25</v>
      </c>
      <c r="L85" s="12" t="s">
        <v>21</v>
      </c>
    </row>
    <row r="86" spans="1:12" x14ac:dyDescent="0.35">
      <c r="A86" s="13">
        <v>2020</v>
      </c>
      <c r="B86" s="14" t="s">
        <v>35</v>
      </c>
      <c r="C86" s="14" t="s">
        <v>29</v>
      </c>
      <c r="D86" s="14" t="s">
        <v>24</v>
      </c>
      <c r="E86" s="15">
        <v>41163</v>
      </c>
      <c r="F86" s="16">
        <v>19005446.109999999</v>
      </c>
      <c r="G86" s="14">
        <v>4.79</v>
      </c>
      <c r="H86" s="14">
        <v>51.77</v>
      </c>
      <c r="I86" s="14">
        <v>44.26</v>
      </c>
      <c r="J86" s="14">
        <v>210.86</v>
      </c>
      <c r="K86" s="14">
        <v>88.02</v>
      </c>
      <c r="L86" s="17" t="s">
        <v>27</v>
      </c>
    </row>
    <row r="87" spans="1:12" x14ac:dyDescent="0.35">
      <c r="A87" s="8">
        <v>2020</v>
      </c>
      <c r="B87" s="9" t="s">
        <v>35</v>
      </c>
      <c r="C87" s="9" t="s">
        <v>30</v>
      </c>
      <c r="D87" s="9" t="s">
        <v>24</v>
      </c>
      <c r="E87" s="10">
        <v>27381</v>
      </c>
      <c r="F87" s="11">
        <v>65294982.829999998</v>
      </c>
      <c r="G87" s="9">
        <v>2.65</v>
      </c>
      <c r="H87" s="9">
        <v>62.02</v>
      </c>
      <c r="I87" s="9">
        <v>25.37</v>
      </c>
      <c r="J87" s="9">
        <v>130.24</v>
      </c>
      <c r="K87" s="9">
        <v>86.46</v>
      </c>
      <c r="L87" s="12" t="s">
        <v>21</v>
      </c>
    </row>
    <row r="88" spans="1:12" x14ac:dyDescent="0.35">
      <c r="A88" s="13">
        <v>2020</v>
      </c>
      <c r="B88" s="14" t="s">
        <v>35</v>
      </c>
      <c r="C88" s="14" t="s">
        <v>31</v>
      </c>
      <c r="D88" s="14" t="s">
        <v>24</v>
      </c>
      <c r="E88" s="15">
        <v>61462</v>
      </c>
      <c r="F88" s="16">
        <v>55137531.491999902</v>
      </c>
      <c r="G88" s="14">
        <v>5.7799999999999896</v>
      </c>
      <c r="H88" s="14">
        <v>89.44</v>
      </c>
      <c r="I88" s="14">
        <v>51.04</v>
      </c>
      <c r="J88" s="14">
        <v>280.82</v>
      </c>
      <c r="K88" s="14">
        <v>85.04</v>
      </c>
      <c r="L88" s="17" t="s">
        <v>17</v>
      </c>
    </row>
    <row r="89" spans="1:12" x14ac:dyDescent="0.35">
      <c r="A89" s="8">
        <v>2020</v>
      </c>
      <c r="B89" s="9" t="s">
        <v>35</v>
      </c>
      <c r="C89" s="9" t="s">
        <v>32</v>
      </c>
      <c r="D89" s="9" t="s">
        <v>24</v>
      </c>
      <c r="E89" s="10">
        <v>10455</v>
      </c>
      <c r="F89" s="11">
        <v>27982805.100000001</v>
      </c>
      <c r="G89" s="9">
        <v>6.83</v>
      </c>
      <c r="H89" s="9">
        <v>69.099999999999994</v>
      </c>
      <c r="I89" s="9">
        <v>10.39</v>
      </c>
      <c r="J89" s="9">
        <v>105.02</v>
      </c>
      <c r="K89" s="9">
        <v>75.930000000000007</v>
      </c>
      <c r="L89" s="12" t="s">
        <v>17</v>
      </c>
    </row>
    <row r="90" spans="1:12" x14ac:dyDescent="0.35">
      <c r="A90" s="13">
        <v>2020</v>
      </c>
      <c r="B90" s="14" t="s">
        <v>35</v>
      </c>
      <c r="C90" s="14" t="s">
        <v>33</v>
      </c>
      <c r="D90" s="14" t="s">
        <v>24</v>
      </c>
      <c r="E90" s="15">
        <v>53896</v>
      </c>
      <c r="F90" s="16">
        <v>47982928.727999903</v>
      </c>
      <c r="G90" s="14">
        <v>3.17</v>
      </c>
      <c r="H90" s="14">
        <v>75.16</v>
      </c>
      <c r="I90" s="14">
        <v>22.74</v>
      </c>
      <c r="J90" s="14">
        <v>92.93</v>
      </c>
      <c r="K90" s="14">
        <v>86.89</v>
      </c>
      <c r="L90" s="17" t="s">
        <v>17</v>
      </c>
    </row>
    <row r="91" spans="1:12" x14ac:dyDescent="0.35">
      <c r="A91" s="8">
        <v>2020</v>
      </c>
      <c r="B91" s="9" t="s">
        <v>35</v>
      </c>
      <c r="C91" s="9" t="s">
        <v>34</v>
      </c>
      <c r="D91" s="9" t="s">
        <v>24</v>
      </c>
      <c r="E91" s="10">
        <v>47830</v>
      </c>
      <c r="F91" s="11">
        <v>79207664.340000004</v>
      </c>
      <c r="G91" s="9">
        <v>3.46</v>
      </c>
      <c r="H91" s="9">
        <v>58.97</v>
      </c>
      <c r="I91" s="9">
        <v>52.43</v>
      </c>
      <c r="J91" s="9">
        <v>236.28</v>
      </c>
      <c r="K91" s="9">
        <v>50.08</v>
      </c>
      <c r="L91" s="12" t="s">
        <v>15</v>
      </c>
    </row>
    <row r="92" spans="1:12" x14ac:dyDescent="0.35">
      <c r="A92" s="13">
        <v>2020</v>
      </c>
      <c r="B92" s="14" t="s">
        <v>36</v>
      </c>
      <c r="C92" s="14" t="s">
        <v>13</v>
      </c>
      <c r="D92" s="14" t="s">
        <v>14</v>
      </c>
      <c r="E92" s="15">
        <v>27328</v>
      </c>
      <c r="F92" s="16">
        <v>31739575.949999999</v>
      </c>
      <c r="G92" s="14">
        <v>-0.42</v>
      </c>
      <c r="H92" s="14">
        <v>68.61</v>
      </c>
      <c r="I92" s="14">
        <v>19.37</v>
      </c>
      <c r="J92" s="14">
        <v>57.25</v>
      </c>
      <c r="K92" s="14">
        <v>41.31</v>
      </c>
      <c r="L92" s="17" t="s">
        <v>19</v>
      </c>
    </row>
    <row r="93" spans="1:12" x14ac:dyDescent="0.35">
      <c r="A93" s="8">
        <v>2020</v>
      </c>
      <c r="B93" s="9" t="s">
        <v>36</v>
      </c>
      <c r="C93" s="9" t="s">
        <v>16</v>
      </c>
      <c r="D93" s="9" t="s">
        <v>14</v>
      </c>
      <c r="E93" s="10">
        <v>38772</v>
      </c>
      <c r="F93" s="11">
        <v>27841226.879999999</v>
      </c>
      <c r="G93" s="9">
        <v>3.48</v>
      </c>
      <c r="H93" s="9">
        <v>60.92</v>
      </c>
      <c r="I93" s="9">
        <v>27.62</v>
      </c>
      <c r="J93" s="9">
        <v>136.07</v>
      </c>
      <c r="K93" s="9">
        <v>84.47</v>
      </c>
      <c r="L93" s="12" t="s">
        <v>27</v>
      </c>
    </row>
    <row r="94" spans="1:12" x14ac:dyDescent="0.35">
      <c r="A94" s="13">
        <v>2020</v>
      </c>
      <c r="B94" s="14" t="s">
        <v>36</v>
      </c>
      <c r="C94" s="14" t="s">
        <v>18</v>
      </c>
      <c r="D94" s="14" t="s">
        <v>14</v>
      </c>
      <c r="E94" s="15">
        <v>7511</v>
      </c>
      <c r="F94" s="16">
        <v>31385211.280000001</v>
      </c>
      <c r="G94" s="14">
        <v>1.48</v>
      </c>
      <c r="H94" s="14">
        <v>60</v>
      </c>
      <c r="I94" s="14">
        <v>1.68</v>
      </c>
      <c r="J94" s="14">
        <v>52.52</v>
      </c>
      <c r="K94" s="14">
        <v>85.45</v>
      </c>
      <c r="L94" s="17" t="s">
        <v>21</v>
      </c>
    </row>
    <row r="95" spans="1:12" x14ac:dyDescent="0.35">
      <c r="A95" s="8">
        <v>2020</v>
      </c>
      <c r="B95" s="9" t="s">
        <v>36</v>
      </c>
      <c r="C95" s="9" t="s">
        <v>20</v>
      </c>
      <c r="D95" s="9" t="s">
        <v>14</v>
      </c>
      <c r="E95" s="10">
        <v>16212</v>
      </c>
      <c r="F95" s="11">
        <v>59842662.149999999</v>
      </c>
      <c r="G95" s="9">
        <v>0.36</v>
      </c>
      <c r="H95" s="9">
        <v>81.98</v>
      </c>
      <c r="I95" s="9">
        <v>6.72</v>
      </c>
      <c r="J95" s="9">
        <v>59.98</v>
      </c>
      <c r="K95" s="9">
        <v>45.43</v>
      </c>
      <c r="L95" s="12" t="s">
        <v>19</v>
      </c>
    </row>
    <row r="96" spans="1:12" x14ac:dyDescent="0.35">
      <c r="A96" s="13">
        <v>2020</v>
      </c>
      <c r="B96" s="14" t="s">
        <v>36</v>
      </c>
      <c r="C96" s="14" t="s">
        <v>22</v>
      </c>
      <c r="D96" s="14" t="s">
        <v>14</v>
      </c>
      <c r="E96" s="15">
        <v>44767</v>
      </c>
      <c r="F96" s="16">
        <v>6397386.2189999996</v>
      </c>
      <c r="G96" s="14">
        <v>2.66</v>
      </c>
      <c r="H96" s="14">
        <v>65.67</v>
      </c>
      <c r="I96" s="14">
        <v>24.92</v>
      </c>
      <c r="J96" s="14">
        <v>94.9</v>
      </c>
      <c r="K96" s="14">
        <v>53.63</v>
      </c>
      <c r="L96" s="17" t="s">
        <v>19</v>
      </c>
    </row>
    <row r="97" spans="1:12" x14ac:dyDescent="0.35">
      <c r="A97" s="8">
        <v>2020</v>
      </c>
      <c r="B97" s="9" t="s">
        <v>36</v>
      </c>
      <c r="C97" s="9" t="s">
        <v>23</v>
      </c>
      <c r="D97" s="9" t="s">
        <v>24</v>
      </c>
      <c r="E97" s="10">
        <v>29628</v>
      </c>
      <c r="F97" s="11">
        <v>50812407.275999904</v>
      </c>
      <c r="G97" s="9">
        <v>5.1099999999999897</v>
      </c>
      <c r="H97" s="9">
        <v>88.32</v>
      </c>
      <c r="I97" s="9">
        <v>13.49</v>
      </c>
      <c r="J97" s="9">
        <v>66.69</v>
      </c>
      <c r="K97" s="9">
        <v>63.04</v>
      </c>
      <c r="L97" s="12" t="s">
        <v>15</v>
      </c>
    </row>
    <row r="98" spans="1:12" x14ac:dyDescent="0.35">
      <c r="A98" s="13">
        <v>2020</v>
      </c>
      <c r="B98" s="14" t="s">
        <v>36</v>
      </c>
      <c r="C98" s="14" t="s">
        <v>25</v>
      </c>
      <c r="D98" s="14" t="s">
        <v>24</v>
      </c>
      <c r="E98" s="15">
        <v>63137</v>
      </c>
      <c r="F98" s="16">
        <v>23567297.829999998</v>
      </c>
      <c r="G98" s="14">
        <v>4.79</v>
      </c>
      <c r="H98" s="14">
        <v>66.150000000000006</v>
      </c>
      <c r="I98" s="14">
        <v>49.64</v>
      </c>
      <c r="J98" s="14">
        <v>94.47</v>
      </c>
      <c r="K98" s="14">
        <v>82.6</v>
      </c>
      <c r="L98" s="17" t="s">
        <v>21</v>
      </c>
    </row>
    <row r="99" spans="1:12" x14ac:dyDescent="0.35">
      <c r="A99" s="8">
        <v>2020</v>
      </c>
      <c r="B99" s="9" t="s">
        <v>36</v>
      </c>
      <c r="C99" s="9" t="s">
        <v>26</v>
      </c>
      <c r="D99" s="9" t="s">
        <v>24</v>
      </c>
      <c r="E99" s="10">
        <v>56115</v>
      </c>
      <c r="F99" s="11">
        <v>16158944.449999999</v>
      </c>
      <c r="G99" s="9">
        <v>6.22</v>
      </c>
      <c r="H99" s="9">
        <v>91.44</v>
      </c>
      <c r="I99" s="9">
        <v>29.96</v>
      </c>
      <c r="J99" s="9">
        <v>193.54</v>
      </c>
      <c r="K99" s="9">
        <v>89.31</v>
      </c>
      <c r="L99" s="12" t="s">
        <v>27</v>
      </c>
    </row>
    <row r="100" spans="1:12" x14ac:dyDescent="0.35">
      <c r="A100" s="13">
        <v>2020</v>
      </c>
      <c r="B100" s="14" t="s">
        <v>36</v>
      </c>
      <c r="C100" s="14" t="s">
        <v>28</v>
      </c>
      <c r="D100" s="14" t="s">
        <v>24</v>
      </c>
      <c r="E100" s="15">
        <v>33872</v>
      </c>
      <c r="F100" s="16">
        <v>60050676.799999997</v>
      </c>
      <c r="G100" s="14">
        <v>2.94</v>
      </c>
      <c r="H100" s="14">
        <v>88.63</v>
      </c>
      <c r="I100" s="14">
        <v>27.11</v>
      </c>
      <c r="J100" s="14">
        <v>186.09</v>
      </c>
      <c r="K100" s="14">
        <v>61.17</v>
      </c>
      <c r="L100" s="17" t="s">
        <v>19</v>
      </c>
    </row>
    <row r="101" spans="1:12" x14ac:dyDescent="0.35">
      <c r="A101" s="8">
        <v>2020</v>
      </c>
      <c r="B101" s="9" t="s">
        <v>36</v>
      </c>
      <c r="C101" s="9" t="s">
        <v>29</v>
      </c>
      <c r="D101" s="9" t="s">
        <v>24</v>
      </c>
      <c r="E101" s="10">
        <v>56598</v>
      </c>
      <c r="F101" s="11">
        <v>9650777.5319999997</v>
      </c>
      <c r="G101" s="9">
        <v>6.61</v>
      </c>
      <c r="H101" s="9">
        <v>77.650000000000006</v>
      </c>
      <c r="I101" s="9">
        <v>26.15</v>
      </c>
      <c r="J101" s="9">
        <v>69.040000000000006</v>
      </c>
      <c r="K101" s="9">
        <v>88.7</v>
      </c>
      <c r="L101" s="12" t="s">
        <v>17</v>
      </c>
    </row>
    <row r="102" spans="1:12" x14ac:dyDescent="0.35">
      <c r="A102" s="13">
        <v>2020</v>
      </c>
      <c r="B102" s="14" t="s">
        <v>36</v>
      </c>
      <c r="C102" s="14" t="s">
        <v>30</v>
      </c>
      <c r="D102" s="14" t="s">
        <v>24</v>
      </c>
      <c r="E102" s="15">
        <v>8082</v>
      </c>
      <c r="F102" s="16">
        <v>53518254.119999997</v>
      </c>
      <c r="G102" s="14">
        <v>3.35</v>
      </c>
      <c r="H102" s="14">
        <v>102.49</v>
      </c>
      <c r="I102" s="14">
        <v>49.53</v>
      </c>
      <c r="J102" s="14">
        <v>289.41000000000003</v>
      </c>
      <c r="K102" s="14">
        <v>93.02</v>
      </c>
      <c r="L102" s="17" t="s">
        <v>27</v>
      </c>
    </row>
    <row r="103" spans="1:12" x14ac:dyDescent="0.35">
      <c r="A103" s="8">
        <v>2020</v>
      </c>
      <c r="B103" s="9" t="s">
        <v>36</v>
      </c>
      <c r="C103" s="9" t="s">
        <v>31</v>
      </c>
      <c r="D103" s="9" t="s">
        <v>24</v>
      </c>
      <c r="E103" s="10">
        <v>53108</v>
      </c>
      <c r="F103" s="11">
        <v>8982957.7799999993</v>
      </c>
      <c r="G103" s="9">
        <v>6.02</v>
      </c>
      <c r="H103" s="9">
        <v>47.8</v>
      </c>
      <c r="I103" s="9">
        <v>32.450000000000003</v>
      </c>
      <c r="J103" s="9">
        <v>100.39</v>
      </c>
      <c r="K103" s="9">
        <v>59.44</v>
      </c>
      <c r="L103" s="12" t="s">
        <v>17</v>
      </c>
    </row>
    <row r="104" spans="1:12" x14ac:dyDescent="0.35">
      <c r="A104" s="13">
        <v>2020</v>
      </c>
      <c r="B104" s="14" t="s">
        <v>36</v>
      </c>
      <c r="C104" s="14" t="s">
        <v>32</v>
      </c>
      <c r="D104" s="14" t="s">
        <v>24</v>
      </c>
      <c r="E104" s="15">
        <v>42820</v>
      </c>
      <c r="F104" s="16">
        <v>5518854.45599999</v>
      </c>
      <c r="G104" s="14">
        <v>6.58</v>
      </c>
      <c r="H104" s="14">
        <v>41.01</v>
      </c>
      <c r="I104" s="14">
        <v>18.12</v>
      </c>
      <c r="J104" s="14">
        <v>169.67</v>
      </c>
      <c r="K104" s="14">
        <v>79.56</v>
      </c>
      <c r="L104" s="17" t="s">
        <v>27</v>
      </c>
    </row>
    <row r="105" spans="1:12" x14ac:dyDescent="0.35">
      <c r="A105" s="8">
        <v>2020</v>
      </c>
      <c r="B105" s="9" t="s">
        <v>36</v>
      </c>
      <c r="C105" s="9" t="s">
        <v>33</v>
      </c>
      <c r="D105" s="9" t="s">
        <v>24</v>
      </c>
      <c r="E105" s="10">
        <v>55164</v>
      </c>
      <c r="F105" s="11">
        <v>9027240.9240000006</v>
      </c>
      <c r="G105" s="9">
        <v>4.7699999999999996</v>
      </c>
      <c r="H105" s="9">
        <v>48.66</v>
      </c>
      <c r="I105" s="9">
        <v>29.6</v>
      </c>
      <c r="J105" s="9">
        <v>94.48</v>
      </c>
      <c r="K105" s="9">
        <v>55.85</v>
      </c>
      <c r="L105" s="12" t="s">
        <v>27</v>
      </c>
    </row>
    <row r="106" spans="1:12" x14ac:dyDescent="0.35">
      <c r="A106" s="13">
        <v>2020</v>
      </c>
      <c r="B106" s="14" t="s">
        <v>36</v>
      </c>
      <c r="C106" s="14" t="s">
        <v>34</v>
      </c>
      <c r="D106" s="14" t="s">
        <v>24</v>
      </c>
      <c r="E106" s="15">
        <v>12993</v>
      </c>
      <c r="F106" s="16">
        <v>7444019.2560000001</v>
      </c>
      <c r="G106" s="14">
        <v>3.67</v>
      </c>
      <c r="H106" s="14">
        <v>53.23</v>
      </c>
      <c r="I106" s="14">
        <v>49.96</v>
      </c>
      <c r="J106" s="14">
        <v>236.45</v>
      </c>
      <c r="K106" s="14">
        <v>87.73</v>
      </c>
      <c r="L106" s="17" t="s">
        <v>21</v>
      </c>
    </row>
    <row r="107" spans="1:12" x14ac:dyDescent="0.35">
      <c r="A107" s="8">
        <v>2020</v>
      </c>
      <c r="B107" s="9" t="s">
        <v>37</v>
      </c>
      <c r="C107" s="9" t="s">
        <v>13</v>
      </c>
      <c r="D107" s="9" t="s">
        <v>14</v>
      </c>
      <c r="E107" s="10">
        <v>49522</v>
      </c>
      <c r="F107" s="11">
        <v>13749933.390000001</v>
      </c>
      <c r="G107" s="9">
        <v>0.73</v>
      </c>
      <c r="H107" s="9">
        <v>68.38</v>
      </c>
      <c r="I107" s="9">
        <v>46.89</v>
      </c>
      <c r="J107" s="9">
        <v>221.54</v>
      </c>
      <c r="K107" s="9">
        <v>67.28</v>
      </c>
      <c r="L107" s="12" t="s">
        <v>21</v>
      </c>
    </row>
    <row r="108" spans="1:12" x14ac:dyDescent="0.35">
      <c r="A108" s="13">
        <v>2020</v>
      </c>
      <c r="B108" s="14" t="s">
        <v>37</v>
      </c>
      <c r="C108" s="14" t="s">
        <v>16</v>
      </c>
      <c r="D108" s="14" t="s">
        <v>14</v>
      </c>
      <c r="E108" s="15">
        <v>35672</v>
      </c>
      <c r="F108" s="16">
        <v>43822054.960000001</v>
      </c>
      <c r="G108" s="14">
        <v>0.84</v>
      </c>
      <c r="H108" s="14">
        <v>44.22</v>
      </c>
      <c r="I108" s="14">
        <v>46.9</v>
      </c>
      <c r="J108" s="14">
        <v>285.05</v>
      </c>
      <c r="K108" s="14">
        <v>50.09</v>
      </c>
      <c r="L108" s="17" t="s">
        <v>15</v>
      </c>
    </row>
    <row r="109" spans="1:12" x14ac:dyDescent="0.35">
      <c r="A109" s="8">
        <v>2020</v>
      </c>
      <c r="B109" s="9" t="s">
        <v>37</v>
      </c>
      <c r="C109" s="9" t="s">
        <v>18</v>
      </c>
      <c r="D109" s="9" t="s">
        <v>14</v>
      </c>
      <c r="E109" s="10">
        <v>23896</v>
      </c>
      <c r="F109" s="11">
        <v>18747121.280000001</v>
      </c>
      <c r="G109" s="9">
        <v>-0.49</v>
      </c>
      <c r="H109" s="9">
        <v>32.090000000000003</v>
      </c>
      <c r="I109" s="9">
        <v>10.83</v>
      </c>
      <c r="J109" s="9">
        <v>225.49</v>
      </c>
      <c r="K109" s="9">
        <v>56.78</v>
      </c>
      <c r="L109" s="12" t="s">
        <v>19</v>
      </c>
    </row>
    <row r="110" spans="1:12" x14ac:dyDescent="0.35">
      <c r="A110" s="13">
        <v>2020</v>
      </c>
      <c r="B110" s="14" t="s">
        <v>37</v>
      </c>
      <c r="C110" s="14" t="s">
        <v>20</v>
      </c>
      <c r="D110" s="14" t="s">
        <v>14</v>
      </c>
      <c r="E110" s="15">
        <v>7473</v>
      </c>
      <c r="F110" s="16">
        <v>19621770.609999999</v>
      </c>
      <c r="G110" s="14">
        <v>3.88</v>
      </c>
      <c r="H110" s="14">
        <v>74.66</v>
      </c>
      <c r="I110" s="14">
        <v>27.55</v>
      </c>
      <c r="J110" s="14">
        <v>177.22</v>
      </c>
      <c r="K110" s="14">
        <v>72.36</v>
      </c>
      <c r="L110" s="17" t="s">
        <v>21</v>
      </c>
    </row>
    <row r="111" spans="1:12" x14ac:dyDescent="0.35">
      <c r="A111" s="8">
        <v>2020</v>
      </c>
      <c r="B111" s="9" t="s">
        <v>37</v>
      </c>
      <c r="C111" s="9" t="s">
        <v>22</v>
      </c>
      <c r="D111" s="9" t="s">
        <v>14</v>
      </c>
      <c r="E111" s="10">
        <v>11913</v>
      </c>
      <c r="F111" s="11">
        <v>41627181.200000003</v>
      </c>
      <c r="G111" s="9">
        <v>-0.35</v>
      </c>
      <c r="H111" s="9">
        <v>64.459999999999994</v>
      </c>
      <c r="I111" s="9">
        <v>0.83999999999999897</v>
      </c>
      <c r="J111" s="9">
        <v>155.16</v>
      </c>
      <c r="K111" s="9">
        <v>44.89</v>
      </c>
      <c r="L111" s="12" t="s">
        <v>17</v>
      </c>
    </row>
    <row r="112" spans="1:12" x14ac:dyDescent="0.35">
      <c r="A112" s="13">
        <v>2020</v>
      </c>
      <c r="B112" s="14" t="s">
        <v>37</v>
      </c>
      <c r="C112" s="14" t="s">
        <v>23</v>
      </c>
      <c r="D112" s="14" t="s">
        <v>24</v>
      </c>
      <c r="E112" s="15">
        <v>39692</v>
      </c>
      <c r="F112" s="16">
        <v>34859771.57</v>
      </c>
      <c r="G112" s="14">
        <v>6.62</v>
      </c>
      <c r="H112" s="14">
        <v>87.81</v>
      </c>
      <c r="I112" s="14">
        <v>39.64</v>
      </c>
      <c r="J112" s="14">
        <v>189.6</v>
      </c>
      <c r="K112" s="14">
        <v>62.18</v>
      </c>
      <c r="L112" s="17" t="s">
        <v>15</v>
      </c>
    </row>
    <row r="113" spans="1:12" x14ac:dyDescent="0.35">
      <c r="A113" s="8">
        <v>2020</v>
      </c>
      <c r="B113" s="9" t="s">
        <v>37</v>
      </c>
      <c r="C113" s="9" t="s">
        <v>25</v>
      </c>
      <c r="D113" s="9" t="s">
        <v>24</v>
      </c>
      <c r="E113" s="10">
        <v>48805</v>
      </c>
      <c r="F113" s="11">
        <v>32349455.399999999</v>
      </c>
      <c r="G113" s="9">
        <v>4.42</v>
      </c>
      <c r="H113" s="9">
        <v>99.33</v>
      </c>
      <c r="I113" s="9">
        <v>33.79</v>
      </c>
      <c r="J113" s="9">
        <v>96.26</v>
      </c>
      <c r="K113" s="9">
        <v>57.17</v>
      </c>
      <c r="L113" s="12" t="s">
        <v>21</v>
      </c>
    </row>
    <row r="114" spans="1:12" x14ac:dyDescent="0.35">
      <c r="A114" s="13">
        <v>2020</v>
      </c>
      <c r="B114" s="14" t="s">
        <v>37</v>
      </c>
      <c r="C114" s="14" t="s">
        <v>26</v>
      </c>
      <c r="D114" s="14" t="s">
        <v>24</v>
      </c>
      <c r="E114" s="15">
        <v>8115</v>
      </c>
      <c r="F114" s="16">
        <v>44826833.530000001</v>
      </c>
      <c r="G114" s="14">
        <v>4.6500000000000004</v>
      </c>
      <c r="H114" s="14">
        <v>62.42</v>
      </c>
      <c r="I114" s="14">
        <v>41.52</v>
      </c>
      <c r="J114" s="14">
        <v>295.85000000000002</v>
      </c>
      <c r="K114" s="14">
        <v>48.71</v>
      </c>
      <c r="L114" s="17" t="s">
        <v>15</v>
      </c>
    </row>
    <row r="115" spans="1:12" x14ac:dyDescent="0.35">
      <c r="A115" s="8">
        <v>2020</v>
      </c>
      <c r="B115" s="9" t="s">
        <v>37</v>
      </c>
      <c r="C115" s="9" t="s">
        <v>28</v>
      </c>
      <c r="D115" s="9" t="s">
        <v>24</v>
      </c>
      <c r="E115" s="10">
        <v>52951</v>
      </c>
      <c r="F115" s="11">
        <v>13524137.65</v>
      </c>
      <c r="G115" s="9">
        <v>2.83</v>
      </c>
      <c r="H115" s="9">
        <v>73.069999999999993</v>
      </c>
      <c r="I115" s="9">
        <v>27.79</v>
      </c>
      <c r="J115" s="9">
        <v>52.85</v>
      </c>
      <c r="K115" s="9">
        <v>70.84</v>
      </c>
      <c r="L115" s="12" t="s">
        <v>27</v>
      </c>
    </row>
    <row r="116" spans="1:12" x14ac:dyDescent="0.35">
      <c r="A116" s="13">
        <v>2020</v>
      </c>
      <c r="B116" s="14" t="s">
        <v>37</v>
      </c>
      <c r="C116" s="14" t="s">
        <v>29</v>
      </c>
      <c r="D116" s="14" t="s">
        <v>24</v>
      </c>
      <c r="E116" s="15">
        <v>40353</v>
      </c>
      <c r="F116" s="16">
        <v>16476389.24</v>
      </c>
      <c r="G116" s="14">
        <v>3.06</v>
      </c>
      <c r="H116" s="14">
        <v>46.41</v>
      </c>
      <c r="I116" s="14">
        <v>21.11</v>
      </c>
      <c r="J116" s="14">
        <v>194.98</v>
      </c>
      <c r="K116" s="14">
        <v>54.61</v>
      </c>
      <c r="L116" s="17" t="s">
        <v>19</v>
      </c>
    </row>
    <row r="117" spans="1:12" x14ac:dyDescent="0.35">
      <c r="A117" s="8">
        <v>2020</v>
      </c>
      <c r="B117" s="9" t="s">
        <v>37</v>
      </c>
      <c r="C117" s="9" t="s">
        <v>30</v>
      </c>
      <c r="D117" s="9" t="s">
        <v>24</v>
      </c>
      <c r="E117" s="10">
        <v>26015</v>
      </c>
      <c r="F117" s="11">
        <v>13548942.4439999</v>
      </c>
      <c r="G117" s="9">
        <v>5.19</v>
      </c>
      <c r="H117" s="9">
        <v>92.87</v>
      </c>
      <c r="I117" s="9">
        <v>45.67</v>
      </c>
      <c r="J117" s="9">
        <v>248.52</v>
      </c>
      <c r="K117" s="9">
        <v>85.87</v>
      </c>
      <c r="L117" s="12" t="s">
        <v>21</v>
      </c>
    </row>
    <row r="118" spans="1:12" x14ac:dyDescent="0.35">
      <c r="A118" s="13">
        <v>2020</v>
      </c>
      <c r="B118" s="14" t="s">
        <v>37</v>
      </c>
      <c r="C118" s="14" t="s">
        <v>31</v>
      </c>
      <c r="D118" s="14" t="s">
        <v>24</v>
      </c>
      <c r="E118" s="15">
        <v>11163</v>
      </c>
      <c r="F118" s="16">
        <v>12032304.635999899</v>
      </c>
      <c r="G118" s="14">
        <v>3.84</v>
      </c>
      <c r="H118" s="14">
        <v>40.71</v>
      </c>
      <c r="I118" s="14">
        <v>45.09</v>
      </c>
      <c r="J118" s="14">
        <v>122.22</v>
      </c>
      <c r="K118" s="14">
        <v>83.63</v>
      </c>
      <c r="L118" s="17" t="s">
        <v>21</v>
      </c>
    </row>
    <row r="119" spans="1:12" x14ac:dyDescent="0.35">
      <c r="A119" s="8">
        <v>2020</v>
      </c>
      <c r="B119" s="9" t="s">
        <v>37</v>
      </c>
      <c r="C119" s="9" t="s">
        <v>32</v>
      </c>
      <c r="D119" s="9" t="s">
        <v>24</v>
      </c>
      <c r="E119" s="10">
        <v>36975</v>
      </c>
      <c r="F119" s="11">
        <v>33358884.739999998</v>
      </c>
      <c r="G119" s="9">
        <v>5.3599999999999897</v>
      </c>
      <c r="H119" s="9">
        <v>74.28</v>
      </c>
      <c r="I119" s="9">
        <v>33.57</v>
      </c>
      <c r="J119" s="9">
        <v>72.540000000000006</v>
      </c>
      <c r="K119" s="9">
        <v>57.77</v>
      </c>
      <c r="L119" s="12" t="s">
        <v>21</v>
      </c>
    </row>
    <row r="120" spans="1:12" x14ac:dyDescent="0.35">
      <c r="A120" s="13">
        <v>2020</v>
      </c>
      <c r="B120" s="14" t="s">
        <v>37</v>
      </c>
      <c r="C120" s="14" t="s">
        <v>33</v>
      </c>
      <c r="D120" s="14" t="s">
        <v>24</v>
      </c>
      <c r="E120" s="15">
        <v>28163</v>
      </c>
      <c r="F120" s="16">
        <v>76740547.760000005</v>
      </c>
      <c r="G120" s="14">
        <v>6.5</v>
      </c>
      <c r="H120" s="14">
        <v>49.19</v>
      </c>
      <c r="I120" s="14">
        <v>23.05</v>
      </c>
      <c r="J120" s="14">
        <v>154.41999999999999</v>
      </c>
      <c r="K120" s="14">
        <v>78.77</v>
      </c>
      <c r="L120" s="17" t="s">
        <v>17</v>
      </c>
    </row>
    <row r="121" spans="1:12" x14ac:dyDescent="0.35">
      <c r="A121" s="8">
        <v>2020</v>
      </c>
      <c r="B121" s="9" t="s">
        <v>37</v>
      </c>
      <c r="C121" s="9" t="s">
        <v>34</v>
      </c>
      <c r="D121" s="9" t="s">
        <v>24</v>
      </c>
      <c r="E121" s="10">
        <v>49246</v>
      </c>
      <c r="F121" s="11">
        <v>5030391.84</v>
      </c>
      <c r="G121" s="9">
        <v>6.07</v>
      </c>
      <c r="H121" s="9">
        <v>51.07</v>
      </c>
      <c r="I121" s="9">
        <v>47.75</v>
      </c>
      <c r="J121" s="9">
        <v>137.41999999999999</v>
      </c>
      <c r="K121" s="9">
        <v>71.5</v>
      </c>
      <c r="L121" s="12" t="s">
        <v>19</v>
      </c>
    </row>
    <row r="122" spans="1:12" x14ac:dyDescent="0.35">
      <c r="A122" s="13">
        <v>2021</v>
      </c>
      <c r="B122" s="14" t="s">
        <v>12</v>
      </c>
      <c r="C122" s="14" t="s">
        <v>13</v>
      </c>
      <c r="D122" s="14" t="s">
        <v>14</v>
      </c>
      <c r="E122" s="15">
        <v>44456</v>
      </c>
      <c r="F122" s="16">
        <v>14331275.99</v>
      </c>
      <c r="G122" s="14">
        <v>0.64999999999999902</v>
      </c>
      <c r="H122" s="14">
        <v>61.11</v>
      </c>
      <c r="I122" s="14">
        <v>40.369999999999997</v>
      </c>
      <c r="J122" s="14">
        <v>129.5</v>
      </c>
      <c r="K122" s="14">
        <v>66.930000000000007</v>
      </c>
      <c r="L122" s="17" t="s">
        <v>21</v>
      </c>
    </row>
    <row r="123" spans="1:12" x14ac:dyDescent="0.35">
      <c r="A123" s="8">
        <v>2021</v>
      </c>
      <c r="B123" s="9" t="s">
        <v>12</v>
      </c>
      <c r="C123" s="9" t="s">
        <v>16</v>
      </c>
      <c r="D123" s="9" t="s">
        <v>14</v>
      </c>
      <c r="E123" s="10">
        <v>6548</v>
      </c>
      <c r="F123" s="11">
        <v>54168172.520000003</v>
      </c>
      <c r="G123" s="9">
        <v>2.64</v>
      </c>
      <c r="H123" s="9">
        <v>63.01</v>
      </c>
      <c r="I123" s="9">
        <v>17.850000000000001</v>
      </c>
      <c r="J123" s="9">
        <v>279.58</v>
      </c>
      <c r="K123" s="9">
        <v>73.97</v>
      </c>
      <c r="L123" s="12" t="s">
        <v>27</v>
      </c>
    </row>
    <row r="124" spans="1:12" x14ac:dyDescent="0.35">
      <c r="A124" s="13">
        <v>2021</v>
      </c>
      <c r="B124" s="14" t="s">
        <v>12</v>
      </c>
      <c r="C124" s="14" t="s">
        <v>18</v>
      </c>
      <c r="D124" s="14" t="s">
        <v>14</v>
      </c>
      <c r="E124" s="15">
        <v>36129</v>
      </c>
      <c r="F124" s="16">
        <v>28657040.440000001</v>
      </c>
      <c r="G124" s="14">
        <v>0.49</v>
      </c>
      <c r="H124" s="14">
        <v>60.6</v>
      </c>
      <c r="I124" s="14">
        <v>1.5699999999999901</v>
      </c>
      <c r="J124" s="14">
        <v>209.38</v>
      </c>
      <c r="K124" s="14">
        <v>62.41</v>
      </c>
      <c r="L124" s="17" t="s">
        <v>19</v>
      </c>
    </row>
    <row r="125" spans="1:12" x14ac:dyDescent="0.35">
      <c r="A125" s="8">
        <v>2021</v>
      </c>
      <c r="B125" s="9" t="s">
        <v>12</v>
      </c>
      <c r="C125" s="9" t="s">
        <v>20</v>
      </c>
      <c r="D125" s="9" t="s">
        <v>14</v>
      </c>
      <c r="E125" s="10">
        <v>36476</v>
      </c>
      <c r="F125" s="11">
        <v>9769649.4360000007</v>
      </c>
      <c r="G125" s="9">
        <v>0.39999999999999902</v>
      </c>
      <c r="H125" s="9">
        <v>67.05</v>
      </c>
      <c r="I125" s="9">
        <v>29.96</v>
      </c>
      <c r="J125" s="9">
        <v>138.12</v>
      </c>
      <c r="K125" s="9">
        <v>52.54</v>
      </c>
      <c r="L125" s="12" t="s">
        <v>27</v>
      </c>
    </row>
    <row r="126" spans="1:12" x14ac:dyDescent="0.35">
      <c r="A126" s="13">
        <v>2021</v>
      </c>
      <c r="B126" s="14" t="s">
        <v>12</v>
      </c>
      <c r="C126" s="14" t="s">
        <v>22</v>
      </c>
      <c r="D126" s="14" t="s">
        <v>14</v>
      </c>
      <c r="E126" s="15">
        <v>34090</v>
      </c>
      <c r="F126" s="16">
        <v>7777936.3679999998</v>
      </c>
      <c r="G126" s="14">
        <v>3.54</v>
      </c>
      <c r="H126" s="14">
        <v>71.27</v>
      </c>
      <c r="I126" s="14">
        <v>41.68</v>
      </c>
      <c r="J126" s="14">
        <v>171.59</v>
      </c>
      <c r="K126" s="14">
        <v>50.17</v>
      </c>
      <c r="L126" s="17" t="s">
        <v>19</v>
      </c>
    </row>
    <row r="127" spans="1:12" x14ac:dyDescent="0.35">
      <c r="A127" s="8">
        <v>2021</v>
      </c>
      <c r="B127" s="9" t="s">
        <v>12</v>
      </c>
      <c r="C127" s="9" t="s">
        <v>23</v>
      </c>
      <c r="D127" s="9" t="s">
        <v>24</v>
      </c>
      <c r="E127" s="10">
        <v>30278</v>
      </c>
      <c r="F127" s="11">
        <v>12377641.48</v>
      </c>
      <c r="G127" s="9">
        <v>3.86</v>
      </c>
      <c r="H127" s="9">
        <v>40.51</v>
      </c>
      <c r="I127" s="9">
        <v>51.79</v>
      </c>
      <c r="J127" s="9">
        <v>184.8</v>
      </c>
      <c r="K127" s="9">
        <v>61.75</v>
      </c>
      <c r="L127" s="12" t="s">
        <v>19</v>
      </c>
    </row>
    <row r="128" spans="1:12" x14ac:dyDescent="0.35">
      <c r="A128" s="13">
        <v>2021</v>
      </c>
      <c r="B128" s="14" t="s">
        <v>12</v>
      </c>
      <c r="C128" s="14" t="s">
        <v>25</v>
      </c>
      <c r="D128" s="14" t="s">
        <v>24</v>
      </c>
      <c r="E128" s="15">
        <v>57898</v>
      </c>
      <c r="F128" s="16">
        <v>19848318.309999999</v>
      </c>
      <c r="G128" s="14">
        <v>4.43</v>
      </c>
      <c r="H128" s="14">
        <v>45.27</v>
      </c>
      <c r="I128" s="14">
        <v>23.12</v>
      </c>
      <c r="J128" s="14">
        <v>277.64999999999998</v>
      </c>
      <c r="K128" s="14">
        <v>55.07</v>
      </c>
      <c r="L128" s="17" t="s">
        <v>17</v>
      </c>
    </row>
    <row r="129" spans="1:12" x14ac:dyDescent="0.35">
      <c r="A129" s="8">
        <v>2021</v>
      </c>
      <c r="B129" s="9" t="s">
        <v>12</v>
      </c>
      <c r="C129" s="9" t="s">
        <v>26</v>
      </c>
      <c r="D129" s="9" t="s">
        <v>24</v>
      </c>
      <c r="E129" s="10">
        <v>44847</v>
      </c>
      <c r="F129" s="11">
        <v>14310727.310000001</v>
      </c>
      <c r="G129" s="9">
        <v>5.07</v>
      </c>
      <c r="H129" s="9">
        <v>66.56</v>
      </c>
      <c r="I129" s="9">
        <v>16.829999999999998</v>
      </c>
      <c r="J129" s="9">
        <v>97.53</v>
      </c>
      <c r="K129" s="9">
        <v>53.5</v>
      </c>
      <c r="L129" s="12" t="s">
        <v>27</v>
      </c>
    </row>
    <row r="130" spans="1:12" x14ac:dyDescent="0.35">
      <c r="A130" s="13">
        <v>2021</v>
      </c>
      <c r="B130" s="14" t="s">
        <v>12</v>
      </c>
      <c r="C130" s="14" t="s">
        <v>28</v>
      </c>
      <c r="D130" s="14" t="s">
        <v>24</v>
      </c>
      <c r="E130" s="15">
        <v>6557</v>
      </c>
      <c r="F130" s="16">
        <v>41433407.509999998</v>
      </c>
      <c r="G130" s="14">
        <v>2.69</v>
      </c>
      <c r="H130" s="14">
        <v>94.68</v>
      </c>
      <c r="I130" s="14">
        <v>54.35</v>
      </c>
      <c r="J130" s="14">
        <v>127.45</v>
      </c>
      <c r="K130" s="14">
        <v>85.11</v>
      </c>
      <c r="L130" s="17" t="s">
        <v>15</v>
      </c>
    </row>
    <row r="131" spans="1:12" x14ac:dyDescent="0.35">
      <c r="A131" s="8">
        <v>2021</v>
      </c>
      <c r="B131" s="9" t="s">
        <v>12</v>
      </c>
      <c r="C131" s="9" t="s">
        <v>29</v>
      </c>
      <c r="D131" s="9" t="s">
        <v>24</v>
      </c>
      <c r="E131" s="10">
        <v>58334</v>
      </c>
      <c r="F131" s="11">
        <v>67042799.399999999</v>
      </c>
      <c r="G131" s="9">
        <v>6.02</v>
      </c>
      <c r="H131" s="9">
        <v>90.08</v>
      </c>
      <c r="I131" s="9">
        <v>10.35</v>
      </c>
      <c r="J131" s="9">
        <v>102.66</v>
      </c>
      <c r="K131" s="9">
        <v>60.11</v>
      </c>
      <c r="L131" s="12" t="s">
        <v>27</v>
      </c>
    </row>
    <row r="132" spans="1:12" x14ac:dyDescent="0.35">
      <c r="A132" s="13">
        <v>2021</v>
      </c>
      <c r="B132" s="14" t="s">
        <v>12</v>
      </c>
      <c r="C132" s="14" t="s">
        <v>30</v>
      </c>
      <c r="D132" s="14" t="s">
        <v>24</v>
      </c>
      <c r="E132" s="15">
        <v>42025</v>
      </c>
      <c r="F132" s="16">
        <v>46339655.030000001</v>
      </c>
      <c r="G132" s="14">
        <v>4.66</v>
      </c>
      <c r="H132" s="14">
        <v>82.85</v>
      </c>
      <c r="I132" s="14">
        <v>36.11</v>
      </c>
      <c r="J132" s="14">
        <v>176.96</v>
      </c>
      <c r="K132" s="14">
        <v>71.11</v>
      </c>
      <c r="L132" s="17" t="s">
        <v>21</v>
      </c>
    </row>
    <row r="133" spans="1:12" x14ac:dyDescent="0.35">
      <c r="A133" s="8">
        <v>2021</v>
      </c>
      <c r="B133" s="9" t="s">
        <v>12</v>
      </c>
      <c r="C133" s="9" t="s">
        <v>31</v>
      </c>
      <c r="D133" s="9" t="s">
        <v>24</v>
      </c>
      <c r="E133" s="10">
        <v>8612</v>
      </c>
      <c r="F133" s="11">
        <v>30287874.850000001</v>
      </c>
      <c r="G133" s="9">
        <v>3.62</v>
      </c>
      <c r="H133" s="9">
        <v>54.88</v>
      </c>
      <c r="I133" s="9">
        <v>52.25</v>
      </c>
      <c r="J133" s="9">
        <v>288.87</v>
      </c>
      <c r="K133" s="9">
        <v>72.55</v>
      </c>
      <c r="L133" s="12" t="s">
        <v>15</v>
      </c>
    </row>
    <row r="134" spans="1:12" x14ac:dyDescent="0.35">
      <c r="A134" s="13">
        <v>2021</v>
      </c>
      <c r="B134" s="14" t="s">
        <v>12</v>
      </c>
      <c r="C134" s="14" t="s">
        <v>32</v>
      </c>
      <c r="D134" s="14" t="s">
        <v>24</v>
      </c>
      <c r="E134" s="15">
        <v>33689</v>
      </c>
      <c r="F134" s="16">
        <v>37582037.579999998</v>
      </c>
      <c r="G134" s="14">
        <v>6.06</v>
      </c>
      <c r="H134" s="14">
        <v>97.44</v>
      </c>
      <c r="I134" s="14">
        <v>25.59</v>
      </c>
      <c r="J134" s="14">
        <v>133.77000000000001</v>
      </c>
      <c r="K134" s="14">
        <v>92.93</v>
      </c>
      <c r="L134" s="17" t="s">
        <v>27</v>
      </c>
    </row>
    <row r="135" spans="1:12" x14ac:dyDescent="0.35">
      <c r="A135" s="8">
        <v>2021</v>
      </c>
      <c r="B135" s="9" t="s">
        <v>12</v>
      </c>
      <c r="C135" s="9" t="s">
        <v>33</v>
      </c>
      <c r="D135" s="9" t="s">
        <v>24</v>
      </c>
      <c r="E135" s="10">
        <v>60093</v>
      </c>
      <c r="F135" s="11">
        <v>79592293.1639999</v>
      </c>
      <c r="G135" s="9">
        <v>3.24</v>
      </c>
      <c r="H135" s="9">
        <v>68.56</v>
      </c>
      <c r="I135" s="9">
        <v>48.17</v>
      </c>
      <c r="J135" s="9">
        <v>130.83000000000001</v>
      </c>
      <c r="K135" s="9">
        <v>75.69</v>
      </c>
      <c r="L135" s="12" t="s">
        <v>17</v>
      </c>
    </row>
    <row r="136" spans="1:12" x14ac:dyDescent="0.35">
      <c r="A136" s="13">
        <v>2021</v>
      </c>
      <c r="B136" s="14" t="s">
        <v>12</v>
      </c>
      <c r="C136" s="14" t="s">
        <v>34</v>
      </c>
      <c r="D136" s="14" t="s">
        <v>24</v>
      </c>
      <c r="E136" s="15">
        <v>50612</v>
      </c>
      <c r="F136" s="16">
        <v>24547804.329999998</v>
      </c>
      <c r="G136" s="14">
        <v>4.38</v>
      </c>
      <c r="H136" s="14">
        <v>76.13</v>
      </c>
      <c r="I136" s="14">
        <v>16.43</v>
      </c>
      <c r="J136" s="14">
        <v>58.21</v>
      </c>
      <c r="K136" s="14">
        <v>60.85</v>
      </c>
      <c r="L136" s="17" t="s">
        <v>15</v>
      </c>
    </row>
    <row r="137" spans="1:12" x14ac:dyDescent="0.35">
      <c r="A137" s="8">
        <v>2021</v>
      </c>
      <c r="B137" s="9" t="s">
        <v>35</v>
      </c>
      <c r="C137" s="9" t="s">
        <v>13</v>
      </c>
      <c r="D137" s="9" t="s">
        <v>14</v>
      </c>
      <c r="E137" s="10">
        <v>33392</v>
      </c>
      <c r="F137" s="11">
        <v>40200175.950000003</v>
      </c>
      <c r="G137" s="9">
        <v>-0.14000000000000001</v>
      </c>
      <c r="H137" s="9">
        <v>69.319999999999993</v>
      </c>
      <c r="I137" s="9">
        <v>24.76</v>
      </c>
      <c r="J137" s="9">
        <v>255.14</v>
      </c>
      <c r="K137" s="9">
        <v>39.33</v>
      </c>
      <c r="L137" s="12" t="s">
        <v>21</v>
      </c>
    </row>
    <row r="138" spans="1:12" x14ac:dyDescent="0.35">
      <c r="A138" s="13">
        <v>2021</v>
      </c>
      <c r="B138" s="14" t="s">
        <v>35</v>
      </c>
      <c r="C138" s="14" t="s">
        <v>16</v>
      </c>
      <c r="D138" s="14" t="s">
        <v>14</v>
      </c>
      <c r="E138" s="15">
        <v>20351</v>
      </c>
      <c r="F138" s="16">
        <v>10720475.02</v>
      </c>
      <c r="G138" s="14">
        <v>3.45</v>
      </c>
      <c r="H138" s="14">
        <v>77.709999999999994</v>
      </c>
      <c r="I138" s="14">
        <v>3.3</v>
      </c>
      <c r="J138" s="14">
        <v>285.13</v>
      </c>
      <c r="K138" s="14">
        <v>73.56</v>
      </c>
      <c r="L138" s="17" t="s">
        <v>21</v>
      </c>
    </row>
    <row r="139" spans="1:12" x14ac:dyDescent="0.35">
      <c r="A139" s="8">
        <v>2021</v>
      </c>
      <c r="B139" s="9" t="s">
        <v>35</v>
      </c>
      <c r="C139" s="9" t="s">
        <v>18</v>
      </c>
      <c r="D139" s="9" t="s">
        <v>14</v>
      </c>
      <c r="E139" s="10">
        <v>9689</v>
      </c>
      <c r="F139" s="11">
        <v>18237818.16</v>
      </c>
      <c r="G139" s="9">
        <v>-0.39</v>
      </c>
      <c r="H139" s="9">
        <v>45.74</v>
      </c>
      <c r="I139" s="9">
        <v>39.58</v>
      </c>
      <c r="J139" s="9">
        <v>291.06</v>
      </c>
      <c r="K139" s="9">
        <v>65.819999999999993</v>
      </c>
      <c r="L139" s="12" t="s">
        <v>21</v>
      </c>
    </row>
    <row r="140" spans="1:12" x14ac:dyDescent="0.35">
      <c r="A140" s="13">
        <v>2021</v>
      </c>
      <c r="B140" s="14" t="s">
        <v>35</v>
      </c>
      <c r="C140" s="14" t="s">
        <v>20</v>
      </c>
      <c r="D140" s="14" t="s">
        <v>14</v>
      </c>
      <c r="E140" s="15">
        <v>19360</v>
      </c>
      <c r="F140" s="16">
        <v>21067765.940000001</v>
      </c>
      <c r="G140" s="14">
        <v>0.71</v>
      </c>
      <c r="H140" s="14">
        <v>72.25</v>
      </c>
      <c r="I140" s="14">
        <v>24.64</v>
      </c>
      <c r="J140" s="14">
        <v>119.68</v>
      </c>
      <c r="K140" s="14">
        <v>71.099999999999994</v>
      </c>
      <c r="L140" s="17" t="s">
        <v>17</v>
      </c>
    </row>
    <row r="141" spans="1:12" x14ac:dyDescent="0.35">
      <c r="A141" s="8">
        <v>2021</v>
      </c>
      <c r="B141" s="9" t="s">
        <v>35</v>
      </c>
      <c r="C141" s="9" t="s">
        <v>22</v>
      </c>
      <c r="D141" s="9" t="s">
        <v>14</v>
      </c>
      <c r="E141" s="10">
        <v>41937</v>
      </c>
      <c r="F141" s="11">
        <v>10442280.66</v>
      </c>
      <c r="G141" s="9">
        <v>-0.2</v>
      </c>
      <c r="H141" s="9">
        <v>67</v>
      </c>
      <c r="I141" s="9">
        <v>23.33</v>
      </c>
      <c r="J141" s="9">
        <v>106.63</v>
      </c>
      <c r="K141" s="9">
        <v>42.6</v>
      </c>
      <c r="L141" s="12" t="s">
        <v>15</v>
      </c>
    </row>
    <row r="142" spans="1:12" x14ac:dyDescent="0.35">
      <c r="A142" s="13">
        <v>2021</v>
      </c>
      <c r="B142" s="14" t="s">
        <v>35</v>
      </c>
      <c r="C142" s="14" t="s">
        <v>23</v>
      </c>
      <c r="D142" s="14" t="s">
        <v>24</v>
      </c>
      <c r="E142" s="15">
        <v>26634</v>
      </c>
      <c r="F142" s="16">
        <v>17977115.149999999</v>
      </c>
      <c r="G142" s="14">
        <v>2.97</v>
      </c>
      <c r="H142" s="14">
        <v>45.93</v>
      </c>
      <c r="I142" s="14">
        <v>52.08</v>
      </c>
      <c r="J142" s="14">
        <v>238.86</v>
      </c>
      <c r="K142" s="14">
        <v>74.08</v>
      </c>
      <c r="L142" s="17" t="s">
        <v>19</v>
      </c>
    </row>
    <row r="143" spans="1:12" x14ac:dyDescent="0.35">
      <c r="A143" s="8">
        <v>2021</v>
      </c>
      <c r="B143" s="9" t="s">
        <v>35</v>
      </c>
      <c r="C143" s="9" t="s">
        <v>25</v>
      </c>
      <c r="D143" s="9" t="s">
        <v>24</v>
      </c>
      <c r="E143" s="10">
        <v>36653</v>
      </c>
      <c r="F143" s="11">
        <v>38555751.189999998</v>
      </c>
      <c r="G143" s="9">
        <v>4.34</v>
      </c>
      <c r="H143" s="9">
        <v>88.65</v>
      </c>
      <c r="I143" s="9">
        <v>27.12</v>
      </c>
      <c r="J143" s="9">
        <v>280.3</v>
      </c>
      <c r="K143" s="9">
        <v>66</v>
      </c>
      <c r="L143" s="12" t="s">
        <v>19</v>
      </c>
    </row>
    <row r="144" spans="1:12" x14ac:dyDescent="0.35">
      <c r="A144" s="13">
        <v>2021</v>
      </c>
      <c r="B144" s="14" t="s">
        <v>35</v>
      </c>
      <c r="C144" s="14" t="s">
        <v>26</v>
      </c>
      <c r="D144" s="14" t="s">
        <v>24</v>
      </c>
      <c r="E144" s="15">
        <v>61958</v>
      </c>
      <c r="F144" s="16">
        <v>56094433.859999903</v>
      </c>
      <c r="G144" s="14">
        <v>4.58</v>
      </c>
      <c r="H144" s="14">
        <v>59.36</v>
      </c>
      <c r="I144" s="14">
        <v>24.48</v>
      </c>
      <c r="J144" s="14">
        <v>62.63</v>
      </c>
      <c r="K144" s="14">
        <v>92.83</v>
      </c>
      <c r="L144" s="17" t="s">
        <v>15</v>
      </c>
    </row>
    <row r="145" spans="1:12" x14ac:dyDescent="0.35">
      <c r="A145" s="8">
        <v>2021</v>
      </c>
      <c r="B145" s="9" t="s">
        <v>35</v>
      </c>
      <c r="C145" s="9" t="s">
        <v>28</v>
      </c>
      <c r="D145" s="9" t="s">
        <v>24</v>
      </c>
      <c r="E145" s="10">
        <v>6501</v>
      </c>
      <c r="F145" s="11">
        <v>38321092.719999999</v>
      </c>
      <c r="G145" s="9">
        <v>5.2799999999999896</v>
      </c>
      <c r="H145" s="9">
        <v>74.459999999999994</v>
      </c>
      <c r="I145" s="9">
        <v>32.11</v>
      </c>
      <c r="J145" s="9">
        <v>93.6</v>
      </c>
      <c r="K145" s="9">
        <v>93.25</v>
      </c>
      <c r="L145" s="12" t="s">
        <v>17</v>
      </c>
    </row>
    <row r="146" spans="1:12" x14ac:dyDescent="0.35">
      <c r="A146" s="13">
        <v>2021</v>
      </c>
      <c r="B146" s="14" t="s">
        <v>35</v>
      </c>
      <c r="C146" s="14" t="s">
        <v>29</v>
      </c>
      <c r="D146" s="14" t="s">
        <v>24</v>
      </c>
      <c r="E146" s="15">
        <v>31267</v>
      </c>
      <c r="F146" s="16">
        <v>31015491.109999999</v>
      </c>
      <c r="G146" s="14">
        <v>3.11</v>
      </c>
      <c r="H146" s="14">
        <v>75.22</v>
      </c>
      <c r="I146" s="14">
        <v>36.29</v>
      </c>
      <c r="J146" s="14">
        <v>75.66</v>
      </c>
      <c r="K146" s="14">
        <v>48.08</v>
      </c>
      <c r="L146" s="17" t="s">
        <v>27</v>
      </c>
    </row>
    <row r="147" spans="1:12" x14ac:dyDescent="0.35">
      <c r="A147" s="8">
        <v>2021</v>
      </c>
      <c r="B147" s="9" t="s">
        <v>35</v>
      </c>
      <c r="C147" s="9" t="s">
        <v>30</v>
      </c>
      <c r="D147" s="9" t="s">
        <v>24</v>
      </c>
      <c r="E147" s="10">
        <v>27446</v>
      </c>
      <c r="F147" s="11">
        <v>66537700.595999897</v>
      </c>
      <c r="G147" s="9">
        <v>5.89</v>
      </c>
      <c r="H147" s="9">
        <v>93.07</v>
      </c>
      <c r="I147" s="9">
        <v>25.38</v>
      </c>
      <c r="J147" s="9">
        <v>199.61</v>
      </c>
      <c r="K147" s="9">
        <v>89.51</v>
      </c>
      <c r="L147" s="12" t="s">
        <v>21</v>
      </c>
    </row>
    <row r="148" spans="1:12" x14ac:dyDescent="0.35">
      <c r="A148" s="13">
        <v>2021</v>
      </c>
      <c r="B148" s="14" t="s">
        <v>35</v>
      </c>
      <c r="C148" s="14" t="s">
        <v>31</v>
      </c>
      <c r="D148" s="14" t="s">
        <v>24</v>
      </c>
      <c r="E148" s="15">
        <v>60479</v>
      </c>
      <c r="F148" s="16">
        <v>80946999.2519999</v>
      </c>
      <c r="G148" s="14">
        <v>4.3599999999999897</v>
      </c>
      <c r="H148" s="14">
        <v>41.23</v>
      </c>
      <c r="I148" s="14">
        <v>45.34</v>
      </c>
      <c r="J148" s="14">
        <v>215.46</v>
      </c>
      <c r="K148" s="14">
        <v>49.82</v>
      </c>
      <c r="L148" s="17" t="s">
        <v>17</v>
      </c>
    </row>
    <row r="149" spans="1:12" x14ac:dyDescent="0.35">
      <c r="A149" s="8">
        <v>2021</v>
      </c>
      <c r="B149" s="9" t="s">
        <v>35</v>
      </c>
      <c r="C149" s="9" t="s">
        <v>32</v>
      </c>
      <c r="D149" s="9" t="s">
        <v>24</v>
      </c>
      <c r="E149" s="10">
        <v>33576</v>
      </c>
      <c r="F149" s="11">
        <v>15758344.550000001</v>
      </c>
      <c r="G149" s="9">
        <v>6.65</v>
      </c>
      <c r="H149" s="9">
        <v>73.37</v>
      </c>
      <c r="I149" s="9">
        <v>14.85</v>
      </c>
      <c r="J149" s="9">
        <v>69.650000000000006</v>
      </c>
      <c r="K149" s="9">
        <v>58.52</v>
      </c>
      <c r="L149" s="12" t="s">
        <v>27</v>
      </c>
    </row>
    <row r="150" spans="1:12" x14ac:dyDescent="0.35">
      <c r="A150" s="13">
        <v>2021</v>
      </c>
      <c r="B150" s="14" t="s">
        <v>35</v>
      </c>
      <c r="C150" s="14" t="s">
        <v>33</v>
      </c>
      <c r="D150" s="14" t="s">
        <v>24</v>
      </c>
      <c r="E150" s="15">
        <v>53719</v>
      </c>
      <c r="F150" s="16">
        <v>32766472.260000002</v>
      </c>
      <c r="G150" s="14">
        <v>2.82</v>
      </c>
      <c r="H150" s="14">
        <v>96.44</v>
      </c>
      <c r="I150" s="14">
        <v>40.479999999999997</v>
      </c>
      <c r="J150" s="14">
        <v>160.44999999999999</v>
      </c>
      <c r="K150" s="14">
        <v>71.77</v>
      </c>
      <c r="L150" s="17" t="s">
        <v>17</v>
      </c>
    </row>
    <row r="151" spans="1:12" x14ac:dyDescent="0.35">
      <c r="A151" s="8">
        <v>2021</v>
      </c>
      <c r="B151" s="9" t="s">
        <v>35</v>
      </c>
      <c r="C151" s="9" t="s">
        <v>34</v>
      </c>
      <c r="D151" s="9" t="s">
        <v>24</v>
      </c>
      <c r="E151" s="10">
        <v>34710</v>
      </c>
      <c r="F151" s="11">
        <v>17998844.949999999</v>
      </c>
      <c r="G151" s="9">
        <v>5.2799999999999896</v>
      </c>
      <c r="H151" s="9">
        <v>61.27</v>
      </c>
      <c r="I151" s="9">
        <v>11.75</v>
      </c>
      <c r="J151" s="9">
        <v>237.56</v>
      </c>
      <c r="K151" s="9">
        <v>76.8</v>
      </c>
      <c r="L151" s="12" t="s">
        <v>19</v>
      </c>
    </row>
    <row r="152" spans="1:12" x14ac:dyDescent="0.35">
      <c r="A152" s="13">
        <v>2021</v>
      </c>
      <c r="B152" s="14" t="s">
        <v>36</v>
      </c>
      <c r="C152" s="14" t="s">
        <v>13</v>
      </c>
      <c r="D152" s="14" t="s">
        <v>14</v>
      </c>
      <c r="E152" s="15">
        <v>39031</v>
      </c>
      <c r="F152" s="16">
        <v>18608941.010000002</v>
      </c>
      <c r="G152" s="14">
        <v>3.81</v>
      </c>
      <c r="H152" s="14">
        <v>33.54</v>
      </c>
      <c r="I152" s="14">
        <v>15.3</v>
      </c>
      <c r="J152" s="14">
        <v>107.98</v>
      </c>
      <c r="K152" s="14">
        <v>58.3</v>
      </c>
      <c r="L152" s="17" t="s">
        <v>15</v>
      </c>
    </row>
    <row r="153" spans="1:12" x14ac:dyDescent="0.35">
      <c r="A153" s="8">
        <v>2021</v>
      </c>
      <c r="B153" s="9" t="s">
        <v>36</v>
      </c>
      <c r="C153" s="9" t="s">
        <v>16</v>
      </c>
      <c r="D153" s="9" t="s">
        <v>14</v>
      </c>
      <c r="E153" s="10">
        <v>34903</v>
      </c>
      <c r="F153" s="11">
        <v>18518248.489999998</v>
      </c>
      <c r="G153" s="9">
        <v>2.0499999999999998</v>
      </c>
      <c r="H153" s="9">
        <v>53.32</v>
      </c>
      <c r="I153" s="9">
        <v>5.41</v>
      </c>
      <c r="J153" s="9">
        <v>217.97</v>
      </c>
      <c r="K153" s="9">
        <v>54.81</v>
      </c>
      <c r="L153" s="12" t="s">
        <v>27</v>
      </c>
    </row>
    <row r="154" spans="1:12" x14ac:dyDescent="0.35">
      <c r="A154" s="13">
        <v>2021</v>
      </c>
      <c r="B154" s="14" t="s">
        <v>36</v>
      </c>
      <c r="C154" s="14" t="s">
        <v>18</v>
      </c>
      <c r="D154" s="14" t="s">
        <v>14</v>
      </c>
      <c r="E154" s="15">
        <v>35996</v>
      </c>
      <c r="F154" s="16">
        <v>23537405.350000001</v>
      </c>
      <c r="G154" s="14">
        <v>3.53</v>
      </c>
      <c r="H154" s="14">
        <v>37.57</v>
      </c>
      <c r="I154" s="14">
        <v>31.68</v>
      </c>
      <c r="J154" s="14">
        <v>291.12</v>
      </c>
      <c r="K154" s="14">
        <v>85.21</v>
      </c>
      <c r="L154" s="17" t="s">
        <v>17</v>
      </c>
    </row>
    <row r="155" spans="1:12" x14ac:dyDescent="0.35">
      <c r="A155" s="8">
        <v>2021</v>
      </c>
      <c r="B155" s="9" t="s">
        <v>36</v>
      </c>
      <c r="C155" s="9" t="s">
        <v>20</v>
      </c>
      <c r="D155" s="9" t="s">
        <v>14</v>
      </c>
      <c r="E155" s="10">
        <v>42820</v>
      </c>
      <c r="F155" s="11">
        <v>29532856.460000001</v>
      </c>
      <c r="G155" s="9">
        <v>-0.47</v>
      </c>
      <c r="H155" s="9">
        <v>68.239999999999995</v>
      </c>
      <c r="I155" s="9">
        <v>19.11</v>
      </c>
      <c r="J155" s="9">
        <v>188.16</v>
      </c>
      <c r="K155" s="9">
        <v>46.5</v>
      </c>
      <c r="L155" s="12" t="s">
        <v>17</v>
      </c>
    </row>
    <row r="156" spans="1:12" x14ac:dyDescent="0.35">
      <c r="A156" s="13">
        <v>2021</v>
      </c>
      <c r="B156" s="14" t="s">
        <v>36</v>
      </c>
      <c r="C156" s="14" t="s">
        <v>22</v>
      </c>
      <c r="D156" s="14" t="s">
        <v>14</v>
      </c>
      <c r="E156" s="15">
        <v>28881</v>
      </c>
      <c r="F156" s="16">
        <v>21441364.649999999</v>
      </c>
      <c r="G156" s="14">
        <v>0.65999999999999903</v>
      </c>
      <c r="H156" s="14">
        <v>41.69</v>
      </c>
      <c r="I156" s="14">
        <v>44.53</v>
      </c>
      <c r="J156" s="14">
        <v>269.38</v>
      </c>
      <c r="K156" s="14">
        <v>59.06</v>
      </c>
      <c r="L156" s="17" t="s">
        <v>19</v>
      </c>
    </row>
    <row r="157" spans="1:12" x14ac:dyDescent="0.35">
      <c r="A157" s="8">
        <v>2021</v>
      </c>
      <c r="B157" s="9" t="s">
        <v>36</v>
      </c>
      <c r="C157" s="9" t="s">
        <v>23</v>
      </c>
      <c r="D157" s="9" t="s">
        <v>24</v>
      </c>
      <c r="E157" s="10">
        <v>55419</v>
      </c>
      <c r="F157" s="11">
        <v>10737537.960000001</v>
      </c>
      <c r="G157" s="9">
        <v>2.59</v>
      </c>
      <c r="H157" s="9">
        <v>68.8</v>
      </c>
      <c r="I157" s="9">
        <v>35.979999999999997</v>
      </c>
      <c r="J157" s="9">
        <v>196.85</v>
      </c>
      <c r="K157" s="9">
        <v>72.959999999999994</v>
      </c>
      <c r="L157" s="12" t="s">
        <v>19</v>
      </c>
    </row>
    <row r="158" spans="1:12" x14ac:dyDescent="0.35">
      <c r="A158" s="13">
        <v>2021</v>
      </c>
      <c r="B158" s="14" t="s">
        <v>36</v>
      </c>
      <c r="C158" s="14" t="s">
        <v>25</v>
      </c>
      <c r="D158" s="14" t="s">
        <v>24</v>
      </c>
      <c r="E158" s="15">
        <v>7872</v>
      </c>
      <c r="F158" s="16">
        <v>5221237.3320000004</v>
      </c>
      <c r="G158" s="14">
        <v>4.1099999999999897</v>
      </c>
      <c r="H158" s="14">
        <v>54.57</v>
      </c>
      <c r="I158" s="14">
        <v>44.85</v>
      </c>
      <c r="J158" s="14">
        <v>202.32</v>
      </c>
      <c r="K158" s="14">
        <v>88.65</v>
      </c>
      <c r="L158" s="17" t="s">
        <v>27</v>
      </c>
    </row>
    <row r="159" spans="1:12" x14ac:dyDescent="0.35">
      <c r="A159" s="8">
        <v>2021</v>
      </c>
      <c r="B159" s="9" t="s">
        <v>36</v>
      </c>
      <c r="C159" s="9" t="s">
        <v>26</v>
      </c>
      <c r="D159" s="9" t="s">
        <v>24</v>
      </c>
      <c r="E159" s="10">
        <v>24758</v>
      </c>
      <c r="F159" s="11">
        <v>51101597.950000003</v>
      </c>
      <c r="G159" s="9">
        <v>4.72</v>
      </c>
      <c r="H159" s="9">
        <v>98.62</v>
      </c>
      <c r="I159" s="9">
        <v>35.629999999999903</v>
      </c>
      <c r="J159" s="9">
        <v>259.73</v>
      </c>
      <c r="K159" s="9">
        <v>81.14</v>
      </c>
      <c r="L159" s="12" t="s">
        <v>19</v>
      </c>
    </row>
    <row r="160" spans="1:12" x14ac:dyDescent="0.35">
      <c r="A160" s="13">
        <v>2021</v>
      </c>
      <c r="B160" s="14" t="s">
        <v>36</v>
      </c>
      <c r="C160" s="14" t="s">
        <v>28</v>
      </c>
      <c r="D160" s="14" t="s">
        <v>24</v>
      </c>
      <c r="E160" s="15">
        <v>50384</v>
      </c>
      <c r="F160" s="16">
        <v>16798329.649999999</v>
      </c>
      <c r="G160" s="14">
        <v>4.3599999999999897</v>
      </c>
      <c r="H160" s="14">
        <v>89.43</v>
      </c>
      <c r="I160" s="14">
        <v>51.51</v>
      </c>
      <c r="J160" s="14">
        <v>132.01</v>
      </c>
      <c r="K160" s="14">
        <v>80.989999999999995</v>
      </c>
      <c r="L160" s="17" t="s">
        <v>15</v>
      </c>
    </row>
    <row r="161" spans="1:12" x14ac:dyDescent="0.35">
      <c r="A161" s="8">
        <v>2021</v>
      </c>
      <c r="B161" s="9" t="s">
        <v>36</v>
      </c>
      <c r="C161" s="9" t="s">
        <v>29</v>
      </c>
      <c r="D161" s="9" t="s">
        <v>24</v>
      </c>
      <c r="E161" s="10">
        <v>8281</v>
      </c>
      <c r="F161" s="11">
        <v>15827206.449999999</v>
      </c>
      <c r="G161" s="9">
        <v>2.87</v>
      </c>
      <c r="H161" s="9">
        <v>97.24</v>
      </c>
      <c r="I161" s="9">
        <v>49.02</v>
      </c>
      <c r="J161" s="9">
        <v>297.81</v>
      </c>
      <c r="K161" s="9">
        <v>77.33</v>
      </c>
      <c r="L161" s="12" t="s">
        <v>21</v>
      </c>
    </row>
    <row r="162" spans="1:12" x14ac:dyDescent="0.35">
      <c r="A162" s="13">
        <v>2021</v>
      </c>
      <c r="B162" s="14" t="s">
        <v>36</v>
      </c>
      <c r="C162" s="14" t="s">
        <v>30</v>
      </c>
      <c r="D162" s="14" t="s">
        <v>24</v>
      </c>
      <c r="E162" s="15">
        <v>54330</v>
      </c>
      <c r="F162" s="16">
        <v>37269680.390000001</v>
      </c>
      <c r="G162" s="14">
        <v>6.02</v>
      </c>
      <c r="H162" s="14">
        <v>48.4</v>
      </c>
      <c r="I162" s="14">
        <v>15.34</v>
      </c>
      <c r="J162" s="14">
        <v>212.64</v>
      </c>
      <c r="K162" s="14">
        <v>88.87</v>
      </c>
      <c r="L162" s="17" t="s">
        <v>19</v>
      </c>
    </row>
    <row r="163" spans="1:12" x14ac:dyDescent="0.35">
      <c r="A163" s="8">
        <v>2021</v>
      </c>
      <c r="B163" s="9" t="s">
        <v>36</v>
      </c>
      <c r="C163" s="9" t="s">
        <v>31</v>
      </c>
      <c r="D163" s="9" t="s">
        <v>24</v>
      </c>
      <c r="E163" s="10">
        <v>32683</v>
      </c>
      <c r="F163" s="11">
        <v>17951923.895999901</v>
      </c>
      <c r="G163" s="9">
        <v>4.8599999999999897</v>
      </c>
      <c r="H163" s="9">
        <v>53.85</v>
      </c>
      <c r="I163" s="9">
        <v>21.86</v>
      </c>
      <c r="J163" s="9">
        <v>99.2</v>
      </c>
      <c r="K163" s="9">
        <v>71.55</v>
      </c>
      <c r="L163" s="12" t="s">
        <v>27</v>
      </c>
    </row>
    <row r="164" spans="1:12" x14ac:dyDescent="0.35">
      <c r="A164" s="13">
        <v>2021</v>
      </c>
      <c r="B164" s="14" t="s">
        <v>36</v>
      </c>
      <c r="C164" s="14" t="s">
        <v>32</v>
      </c>
      <c r="D164" s="14" t="s">
        <v>24</v>
      </c>
      <c r="E164" s="15">
        <v>58052</v>
      </c>
      <c r="F164" s="16">
        <v>45303231.340000004</v>
      </c>
      <c r="G164" s="14">
        <v>5.93</v>
      </c>
      <c r="H164" s="14">
        <v>82.65</v>
      </c>
      <c r="I164" s="14">
        <v>33.54</v>
      </c>
      <c r="J164" s="14">
        <v>271.18</v>
      </c>
      <c r="K164" s="14">
        <v>90.26</v>
      </c>
      <c r="L164" s="17" t="s">
        <v>15</v>
      </c>
    </row>
    <row r="165" spans="1:12" x14ac:dyDescent="0.35">
      <c r="A165" s="8">
        <v>2021</v>
      </c>
      <c r="B165" s="9" t="s">
        <v>36</v>
      </c>
      <c r="C165" s="9" t="s">
        <v>33</v>
      </c>
      <c r="D165" s="9" t="s">
        <v>24</v>
      </c>
      <c r="E165" s="10">
        <v>28022</v>
      </c>
      <c r="F165" s="11">
        <v>33044277.48</v>
      </c>
      <c r="G165" s="9">
        <v>3.7</v>
      </c>
      <c r="H165" s="9">
        <v>91.77</v>
      </c>
      <c r="I165" s="9">
        <v>8.11</v>
      </c>
      <c r="J165" s="9">
        <v>274.8</v>
      </c>
      <c r="K165" s="9">
        <v>87</v>
      </c>
      <c r="L165" s="12" t="s">
        <v>27</v>
      </c>
    </row>
    <row r="166" spans="1:12" x14ac:dyDescent="0.35">
      <c r="A166" s="13">
        <v>2021</v>
      </c>
      <c r="B166" s="14" t="s">
        <v>36</v>
      </c>
      <c r="C166" s="14" t="s">
        <v>34</v>
      </c>
      <c r="D166" s="14" t="s">
        <v>24</v>
      </c>
      <c r="E166" s="15">
        <v>55987</v>
      </c>
      <c r="F166" s="16">
        <v>5330566.68</v>
      </c>
      <c r="G166" s="14">
        <v>2.81</v>
      </c>
      <c r="H166" s="14">
        <v>47.52</v>
      </c>
      <c r="I166" s="14">
        <v>46.97</v>
      </c>
      <c r="J166" s="14">
        <v>166.12</v>
      </c>
      <c r="K166" s="14">
        <v>82.49</v>
      </c>
      <c r="L166" s="17" t="s">
        <v>15</v>
      </c>
    </row>
    <row r="167" spans="1:12" x14ac:dyDescent="0.35">
      <c r="A167" s="8">
        <v>2021</v>
      </c>
      <c r="B167" s="9" t="s">
        <v>37</v>
      </c>
      <c r="C167" s="9" t="s">
        <v>13</v>
      </c>
      <c r="D167" s="9" t="s">
        <v>14</v>
      </c>
      <c r="E167" s="10">
        <v>5309</v>
      </c>
      <c r="F167" s="11">
        <v>30375439.559999999</v>
      </c>
      <c r="G167" s="9">
        <v>-0.17</v>
      </c>
      <c r="H167" s="9">
        <v>38.35</v>
      </c>
      <c r="I167" s="9">
        <v>33.49</v>
      </c>
      <c r="J167" s="9">
        <v>297.3</v>
      </c>
      <c r="K167" s="9">
        <v>66.819999999999993</v>
      </c>
      <c r="L167" s="12" t="s">
        <v>15</v>
      </c>
    </row>
    <row r="168" spans="1:12" x14ac:dyDescent="0.35">
      <c r="A168" s="13">
        <v>2021</v>
      </c>
      <c r="B168" s="14" t="s">
        <v>37</v>
      </c>
      <c r="C168" s="14" t="s">
        <v>16</v>
      </c>
      <c r="D168" s="14" t="s">
        <v>14</v>
      </c>
      <c r="E168" s="15">
        <v>39415</v>
      </c>
      <c r="F168" s="16">
        <v>15774523.4</v>
      </c>
      <c r="G168" s="14">
        <v>3.44</v>
      </c>
      <c r="H168" s="14">
        <v>72.400000000000006</v>
      </c>
      <c r="I168" s="14">
        <v>38.090000000000003</v>
      </c>
      <c r="J168" s="14">
        <v>242.8</v>
      </c>
      <c r="K168" s="14">
        <v>86.48</v>
      </c>
      <c r="L168" s="17" t="s">
        <v>21</v>
      </c>
    </row>
    <row r="169" spans="1:12" x14ac:dyDescent="0.35">
      <c r="A169" s="8">
        <v>2021</v>
      </c>
      <c r="B169" s="9" t="s">
        <v>37</v>
      </c>
      <c r="C169" s="9" t="s">
        <v>18</v>
      </c>
      <c r="D169" s="9" t="s">
        <v>14</v>
      </c>
      <c r="E169" s="10">
        <v>7734</v>
      </c>
      <c r="F169" s="11">
        <v>10384187.42</v>
      </c>
      <c r="G169" s="9">
        <v>2.4300000000000002</v>
      </c>
      <c r="H169" s="9">
        <v>37.340000000000003</v>
      </c>
      <c r="I169" s="9">
        <v>20.93</v>
      </c>
      <c r="J169" s="9">
        <v>122.97</v>
      </c>
      <c r="K169" s="9">
        <v>82.42</v>
      </c>
      <c r="L169" s="12" t="s">
        <v>17</v>
      </c>
    </row>
    <row r="170" spans="1:12" x14ac:dyDescent="0.35">
      <c r="A170" s="13">
        <v>2021</v>
      </c>
      <c r="B170" s="14" t="s">
        <v>37</v>
      </c>
      <c r="C170" s="14" t="s">
        <v>20</v>
      </c>
      <c r="D170" s="14" t="s">
        <v>14</v>
      </c>
      <c r="E170" s="15">
        <v>40180</v>
      </c>
      <c r="F170" s="16">
        <v>8451472.2209999897</v>
      </c>
      <c r="G170" s="14">
        <v>3.22</v>
      </c>
      <c r="H170" s="14">
        <v>52.55</v>
      </c>
      <c r="I170" s="14">
        <v>44.45</v>
      </c>
      <c r="J170" s="14">
        <v>97.8</v>
      </c>
      <c r="K170" s="14">
        <v>53.34</v>
      </c>
      <c r="L170" s="17" t="s">
        <v>27</v>
      </c>
    </row>
    <row r="171" spans="1:12" x14ac:dyDescent="0.35">
      <c r="A171" s="8">
        <v>2021</v>
      </c>
      <c r="B171" s="9" t="s">
        <v>37</v>
      </c>
      <c r="C171" s="9" t="s">
        <v>22</v>
      </c>
      <c r="D171" s="9" t="s">
        <v>14</v>
      </c>
      <c r="E171" s="10">
        <v>39509</v>
      </c>
      <c r="F171" s="11">
        <v>57709591.710000001</v>
      </c>
      <c r="G171" s="9">
        <v>0.439999999999999</v>
      </c>
      <c r="H171" s="9">
        <v>52.43</v>
      </c>
      <c r="I171" s="9">
        <v>9.26</v>
      </c>
      <c r="J171" s="9">
        <v>214.47</v>
      </c>
      <c r="K171" s="9">
        <v>84.68</v>
      </c>
      <c r="L171" s="12" t="s">
        <v>19</v>
      </c>
    </row>
    <row r="172" spans="1:12" x14ac:dyDescent="0.35">
      <c r="A172" s="13">
        <v>2021</v>
      </c>
      <c r="B172" s="14" t="s">
        <v>37</v>
      </c>
      <c r="C172" s="14" t="s">
        <v>23</v>
      </c>
      <c r="D172" s="14" t="s">
        <v>24</v>
      </c>
      <c r="E172" s="15">
        <v>7653</v>
      </c>
      <c r="F172" s="16">
        <v>25848407.75</v>
      </c>
      <c r="G172" s="14">
        <v>6.33</v>
      </c>
      <c r="H172" s="14">
        <v>66.02</v>
      </c>
      <c r="I172" s="14">
        <v>9.81</v>
      </c>
      <c r="J172" s="14">
        <v>183.48</v>
      </c>
      <c r="K172" s="14">
        <v>54.28</v>
      </c>
      <c r="L172" s="17" t="s">
        <v>19</v>
      </c>
    </row>
    <row r="173" spans="1:12" x14ac:dyDescent="0.35">
      <c r="A173" s="8">
        <v>2021</v>
      </c>
      <c r="B173" s="9" t="s">
        <v>37</v>
      </c>
      <c r="C173" s="9" t="s">
        <v>25</v>
      </c>
      <c r="D173" s="9" t="s">
        <v>24</v>
      </c>
      <c r="E173" s="10">
        <v>10112</v>
      </c>
      <c r="F173" s="11">
        <v>41338291.909999996</v>
      </c>
      <c r="G173" s="9">
        <v>3.44</v>
      </c>
      <c r="H173" s="9">
        <v>40.869999999999997</v>
      </c>
      <c r="I173" s="9">
        <v>37.22</v>
      </c>
      <c r="J173" s="9">
        <v>93.6</v>
      </c>
      <c r="K173" s="9">
        <v>72.67</v>
      </c>
      <c r="L173" s="12" t="s">
        <v>15</v>
      </c>
    </row>
    <row r="174" spans="1:12" x14ac:dyDescent="0.35">
      <c r="A174" s="13">
        <v>2021</v>
      </c>
      <c r="B174" s="14" t="s">
        <v>37</v>
      </c>
      <c r="C174" s="14" t="s">
        <v>26</v>
      </c>
      <c r="D174" s="14" t="s">
        <v>24</v>
      </c>
      <c r="E174" s="15">
        <v>63494</v>
      </c>
      <c r="F174" s="16">
        <v>10304716.720000001</v>
      </c>
      <c r="G174" s="14">
        <v>3.98</v>
      </c>
      <c r="H174" s="14">
        <v>74.63</v>
      </c>
      <c r="I174" s="14">
        <v>53.48</v>
      </c>
      <c r="J174" s="14">
        <v>296.12</v>
      </c>
      <c r="K174" s="14">
        <v>93.14</v>
      </c>
      <c r="L174" s="17" t="s">
        <v>21</v>
      </c>
    </row>
    <row r="175" spans="1:12" x14ac:dyDescent="0.35">
      <c r="A175" s="8">
        <v>2021</v>
      </c>
      <c r="B175" s="9" t="s">
        <v>37</v>
      </c>
      <c r="C175" s="9" t="s">
        <v>28</v>
      </c>
      <c r="D175" s="9" t="s">
        <v>24</v>
      </c>
      <c r="E175" s="10">
        <v>40197</v>
      </c>
      <c r="F175" s="11">
        <v>47733241.810000002</v>
      </c>
      <c r="G175" s="9">
        <v>4.21</v>
      </c>
      <c r="H175" s="9">
        <v>63.71</v>
      </c>
      <c r="I175" s="9">
        <v>37.93</v>
      </c>
      <c r="J175" s="9">
        <v>70.52</v>
      </c>
      <c r="K175" s="9">
        <v>74.59</v>
      </c>
      <c r="L175" s="12" t="s">
        <v>27</v>
      </c>
    </row>
    <row r="176" spans="1:12" x14ac:dyDescent="0.35">
      <c r="A176" s="13">
        <v>2021</v>
      </c>
      <c r="B176" s="14" t="s">
        <v>37</v>
      </c>
      <c r="C176" s="14" t="s">
        <v>29</v>
      </c>
      <c r="D176" s="14" t="s">
        <v>24</v>
      </c>
      <c r="E176" s="15">
        <v>28000</v>
      </c>
      <c r="F176" s="16">
        <v>39976458.880000003</v>
      </c>
      <c r="G176" s="14">
        <v>6.67</v>
      </c>
      <c r="H176" s="14">
        <v>56.79</v>
      </c>
      <c r="I176" s="14">
        <v>11.35</v>
      </c>
      <c r="J176" s="14">
        <v>240.77</v>
      </c>
      <c r="K176" s="14">
        <v>51.48</v>
      </c>
      <c r="L176" s="17" t="s">
        <v>15</v>
      </c>
    </row>
    <row r="177" spans="1:12" x14ac:dyDescent="0.35">
      <c r="A177" s="8">
        <v>2021</v>
      </c>
      <c r="B177" s="9" t="s">
        <v>37</v>
      </c>
      <c r="C177" s="9" t="s">
        <v>30</v>
      </c>
      <c r="D177" s="9" t="s">
        <v>24</v>
      </c>
      <c r="E177" s="10">
        <v>30537</v>
      </c>
      <c r="F177" s="11">
        <v>33782555.279999897</v>
      </c>
      <c r="G177" s="9">
        <v>6.26</v>
      </c>
      <c r="H177" s="9">
        <v>48.75</v>
      </c>
      <c r="I177" s="9">
        <v>15.75</v>
      </c>
      <c r="J177" s="9">
        <v>162.28</v>
      </c>
      <c r="K177" s="9">
        <v>64.739999999999995</v>
      </c>
      <c r="L177" s="12" t="s">
        <v>17</v>
      </c>
    </row>
    <row r="178" spans="1:12" x14ac:dyDescent="0.35">
      <c r="A178" s="13">
        <v>2021</v>
      </c>
      <c r="B178" s="14" t="s">
        <v>37</v>
      </c>
      <c r="C178" s="14" t="s">
        <v>31</v>
      </c>
      <c r="D178" s="14" t="s">
        <v>24</v>
      </c>
      <c r="E178" s="15">
        <v>16890</v>
      </c>
      <c r="F178" s="16">
        <v>10789418.339999899</v>
      </c>
      <c r="G178" s="14">
        <v>3.36</v>
      </c>
      <c r="H178" s="14">
        <v>73.7</v>
      </c>
      <c r="I178" s="14">
        <v>27.02</v>
      </c>
      <c r="J178" s="14">
        <v>202.39</v>
      </c>
      <c r="K178" s="14">
        <v>52.08</v>
      </c>
      <c r="L178" s="17" t="s">
        <v>27</v>
      </c>
    </row>
    <row r="179" spans="1:12" x14ac:dyDescent="0.35">
      <c r="A179" s="8">
        <v>2021</v>
      </c>
      <c r="B179" s="9" t="s">
        <v>37</v>
      </c>
      <c r="C179" s="9" t="s">
        <v>32</v>
      </c>
      <c r="D179" s="9" t="s">
        <v>24</v>
      </c>
      <c r="E179" s="10">
        <v>50895</v>
      </c>
      <c r="F179" s="11">
        <v>58673135.229999997</v>
      </c>
      <c r="G179" s="9">
        <v>5.33</v>
      </c>
      <c r="H179" s="9">
        <v>57.73</v>
      </c>
      <c r="I179" s="9">
        <v>31.67</v>
      </c>
      <c r="J179" s="9">
        <v>226.07</v>
      </c>
      <c r="K179" s="9">
        <v>94.36</v>
      </c>
      <c r="L179" s="12" t="s">
        <v>15</v>
      </c>
    </row>
    <row r="180" spans="1:12" x14ac:dyDescent="0.35">
      <c r="A180" s="13">
        <v>2021</v>
      </c>
      <c r="B180" s="14" t="s">
        <v>37</v>
      </c>
      <c r="C180" s="14" t="s">
        <v>33</v>
      </c>
      <c r="D180" s="14" t="s">
        <v>24</v>
      </c>
      <c r="E180" s="15">
        <v>14293</v>
      </c>
      <c r="F180" s="16">
        <v>84264943.840000004</v>
      </c>
      <c r="G180" s="14">
        <v>3.84</v>
      </c>
      <c r="H180" s="14">
        <v>95.98</v>
      </c>
      <c r="I180" s="14">
        <v>19.39</v>
      </c>
      <c r="J180" s="14">
        <v>139.82</v>
      </c>
      <c r="K180" s="14">
        <v>81.790000000000006</v>
      </c>
      <c r="L180" s="17" t="s">
        <v>15</v>
      </c>
    </row>
    <row r="181" spans="1:12" x14ac:dyDescent="0.35">
      <c r="A181" s="8">
        <v>2021</v>
      </c>
      <c r="B181" s="9" t="s">
        <v>37</v>
      </c>
      <c r="C181" s="9" t="s">
        <v>34</v>
      </c>
      <c r="D181" s="9" t="s">
        <v>24</v>
      </c>
      <c r="E181" s="10">
        <v>18172</v>
      </c>
      <c r="F181" s="11">
        <v>7206944.6519999998</v>
      </c>
      <c r="G181" s="9">
        <v>5.16</v>
      </c>
      <c r="H181" s="9">
        <v>68.44</v>
      </c>
      <c r="I181" s="9">
        <v>22.27</v>
      </c>
      <c r="J181" s="9">
        <v>184.61</v>
      </c>
      <c r="K181" s="9">
        <v>68.86</v>
      </c>
      <c r="L181" s="12" t="s">
        <v>27</v>
      </c>
    </row>
    <row r="182" spans="1:12" x14ac:dyDescent="0.35">
      <c r="A182" s="8">
        <v>2022</v>
      </c>
      <c r="B182" s="9" t="s">
        <v>12</v>
      </c>
      <c r="C182" s="9" t="s">
        <v>13</v>
      </c>
      <c r="D182" s="9" t="s">
        <v>14</v>
      </c>
      <c r="E182" s="10">
        <v>23678</v>
      </c>
      <c r="F182" s="11">
        <v>23302026.23</v>
      </c>
      <c r="G182" s="9">
        <v>0.57999999999999996</v>
      </c>
      <c r="H182" s="9">
        <v>45.61</v>
      </c>
      <c r="I182" s="9">
        <v>43.79</v>
      </c>
      <c r="J182" s="9">
        <v>156.56</v>
      </c>
      <c r="K182" s="9">
        <v>72.06</v>
      </c>
      <c r="L182" s="12" t="s">
        <v>27</v>
      </c>
    </row>
    <row r="183" spans="1:12" x14ac:dyDescent="0.35">
      <c r="A183" s="13">
        <v>2022</v>
      </c>
      <c r="B183" s="14" t="s">
        <v>12</v>
      </c>
      <c r="C183" s="14" t="s">
        <v>16</v>
      </c>
      <c r="D183" s="14" t="s">
        <v>14</v>
      </c>
      <c r="E183" s="15">
        <v>24682</v>
      </c>
      <c r="F183" s="16">
        <v>30388420.881000001</v>
      </c>
      <c r="G183" s="14">
        <v>3.89</v>
      </c>
      <c r="H183" s="14">
        <v>65.349999999999994</v>
      </c>
      <c r="I183" s="14">
        <v>41.22</v>
      </c>
      <c r="J183" s="14">
        <v>202.74</v>
      </c>
      <c r="K183" s="14">
        <v>65.05</v>
      </c>
      <c r="L183" s="17" t="s">
        <v>17</v>
      </c>
    </row>
    <row r="184" spans="1:12" x14ac:dyDescent="0.35">
      <c r="A184" s="8">
        <v>2022</v>
      </c>
      <c r="B184" s="9" t="s">
        <v>12</v>
      </c>
      <c r="C184" s="9" t="s">
        <v>18</v>
      </c>
      <c r="D184" s="9" t="s">
        <v>14</v>
      </c>
      <c r="E184" s="10">
        <v>49869</v>
      </c>
      <c r="F184" s="11">
        <v>25015561.710000001</v>
      </c>
      <c r="G184" s="9">
        <v>-0.1</v>
      </c>
      <c r="H184" s="9">
        <v>66.77</v>
      </c>
      <c r="I184" s="9">
        <v>25.65</v>
      </c>
      <c r="J184" s="9">
        <v>137.77000000000001</v>
      </c>
      <c r="K184" s="9">
        <v>75.23</v>
      </c>
      <c r="L184" s="12" t="s">
        <v>21</v>
      </c>
    </row>
    <row r="185" spans="1:12" x14ac:dyDescent="0.35">
      <c r="A185" s="13">
        <v>2022</v>
      </c>
      <c r="B185" s="14" t="s">
        <v>12</v>
      </c>
      <c r="C185" s="14" t="s">
        <v>20</v>
      </c>
      <c r="D185" s="14" t="s">
        <v>14</v>
      </c>
      <c r="E185" s="15">
        <v>5718</v>
      </c>
      <c r="F185" s="16">
        <v>47611430.590000004</v>
      </c>
      <c r="G185" s="14">
        <v>3.4</v>
      </c>
      <c r="H185" s="14">
        <v>60.4</v>
      </c>
      <c r="I185" s="14">
        <v>15.37</v>
      </c>
      <c r="J185" s="14">
        <v>128.61000000000001</v>
      </c>
      <c r="K185" s="14">
        <v>41.67</v>
      </c>
      <c r="L185" s="17" t="s">
        <v>21</v>
      </c>
    </row>
    <row r="186" spans="1:12" x14ac:dyDescent="0.35">
      <c r="A186" s="8">
        <v>2022</v>
      </c>
      <c r="B186" s="9" t="s">
        <v>12</v>
      </c>
      <c r="C186" s="9" t="s">
        <v>22</v>
      </c>
      <c r="D186" s="9" t="s">
        <v>14</v>
      </c>
      <c r="E186" s="10">
        <v>35233</v>
      </c>
      <c r="F186" s="11">
        <v>10414206.279999999</v>
      </c>
      <c r="G186" s="9">
        <v>2.0099999999999998</v>
      </c>
      <c r="H186" s="9">
        <v>84.7</v>
      </c>
      <c r="I186" s="9">
        <v>12.7</v>
      </c>
      <c r="J186" s="9">
        <v>92.35</v>
      </c>
      <c r="K186" s="9">
        <v>51.97</v>
      </c>
      <c r="L186" s="12" t="s">
        <v>21</v>
      </c>
    </row>
    <row r="187" spans="1:12" x14ac:dyDescent="0.35">
      <c r="A187" s="13">
        <v>2022</v>
      </c>
      <c r="B187" s="14" t="s">
        <v>12</v>
      </c>
      <c r="C187" s="14" t="s">
        <v>23</v>
      </c>
      <c r="D187" s="14" t="s">
        <v>24</v>
      </c>
      <c r="E187" s="15">
        <v>41857</v>
      </c>
      <c r="F187" s="16">
        <v>71129083.790000007</v>
      </c>
      <c r="G187" s="14">
        <v>4.8599999999999897</v>
      </c>
      <c r="H187" s="14">
        <v>73.91</v>
      </c>
      <c r="I187" s="14">
        <v>45.53</v>
      </c>
      <c r="J187" s="14">
        <v>173.38</v>
      </c>
      <c r="K187" s="14">
        <v>53.59</v>
      </c>
      <c r="L187" s="17" t="s">
        <v>27</v>
      </c>
    </row>
    <row r="188" spans="1:12" x14ac:dyDescent="0.35">
      <c r="A188" s="8">
        <v>2022</v>
      </c>
      <c r="B188" s="9" t="s">
        <v>12</v>
      </c>
      <c r="C188" s="9" t="s">
        <v>25</v>
      </c>
      <c r="D188" s="9" t="s">
        <v>24</v>
      </c>
      <c r="E188" s="10">
        <v>33814</v>
      </c>
      <c r="F188" s="11">
        <v>62983632.700000003</v>
      </c>
      <c r="G188" s="9">
        <v>4.5599999999999996</v>
      </c>
      <c r="H188" s="9">
        <v>57.41</v>
      </c>
      <c r="I188" s="9">
        <v>21.53</v>
      </c>
      <c r="J188" s="9">
        <v>170.67</v>
      </c>
      <c r="K188" s="9">
        <v>72.61</v>
      </c>
      <c r="L188" s="12" t="s">
        <v>27</v>
      </c>
    </row>
    <row r="189" spans="1:12" x14ac:dyDescent="0.35">
      <c r="A189" s="13">
        <v>2022</v>
      </c>
      <c r="B189" s="14" t="s">
        <v>12</v>
      </c>
      <c r="C189" s="14" t="s">
        <v>26</v>
      </c>
      <c r="D189" s="14" t="s">
        <v>24</v>
      </c>
      <c r="E189" s="15">
        <v>35418</v>
      </c>
      <c r="F189" s="16">
        <v>14482116.279999999</v>
      </c>
      <c r="G189" s="14">
        <v>4.01</v>
      </c>
      <c r="H189" s="14">
        <v>91.45</v>
      </c>
      <c r="I189" s="14">
        <v>6.56</v>
      </c>
      <c r="J189" s="14">
        <v>157.75</v>
      </c>
      <c r="K189" s="14">
        <v>57.04</v>
      </c>
      <c r="L189" s="17" t="s">
        <v>27</v>
      </c>
    </row>
    <row r="190" spans="1:12" x14ac:dyDescent="0.35">
      <c r="A190" s="8">
        <v>2022</v>
      </c>
      <c r="B190" s="9" t="s">
        <v>12</v>
      </c>
      <c r="C190" s="9" t="s">
        <v>28</v>
      </c>
      <c r="D190" s="9" t="s">
        <v>24</v>
      </c>
      <c r="E190" s="10">
        <v>39933</v>
      </c>
      <c r="F190" s="11">
        <v>18632947.100000001</v>
      </c>
      <c r="G190" s="9">
        <v>2.56</v>
      </c>
      <c r="H190" s="9">
        <v>91.48</v>
      </c>
      <c r="I190" s="9">
        <v>41.08</v>
      </c>
      <c r="J190" s="9">
        <v>272.72000000000003</v>
      </c>
      <c r="K190" s="9">
        <v>57.82</v>
      </c>
      <c r="L190" s="12" t="s">
        <v>27</v>
      </c>
    </row>
    <row r="191" spans="1:12" x14ac:dyDescent="0.35">
      <c r="A191" s="13">
        <v>2022</v>
      </c>
      <c r="B191" s="14" t="s">
        <v>12</v>
      </c>
      <c r="C191" s="14" t="s">
        <v>29</v>
      </c>
      <c r="D191" s="14" t="s">
        <v>24</v>
      </c>
      <c r="E191" s="15">
        <v>6800</v>
      </c>
      <c r="F191" s="16">
        <v>6213699.6119999997</v>
      </c>
      <c r="G191" s="14">
        <v>6.1</v>
      </c>
      <c r="H191" s="14">
        <v>52.04</v>
      </c>
      <c r="I191" s="14">
        <v>54.21</v>
      </c>
      <c r="J191" s="14">
        <v>81.93</v>
      </c>
      <c r="K191" s="14">
        <v>52.88</v>
      </c>
      <c r="L191" s="17" t="s">
        <v>19</v>
      </c>
    </row>
    <row r="192" spans="1:12" x14ac:dyDescent="0.35">
      <c r="A192" s="8">
        <v>2022</v>
      </c>
      <c r="B192" s="9" t="s">
        <v>12</v>
      </c>
      <c r="C192" s="9" t="s">
        <v>30</v>
      </c>
      <c r="D192" s="9" t="s">
        <v>24</v>
      </c>
      <c r="E192" s="10">
        <v>6787</v>
      </c>
      <c r="F192" s="11">
        <v>52571041.670000002</v>
      </c>
      <c r="G192" s="9">
        <v>4.93</v>
      </c>
      <c r="H192" s="9">
        <v>103.73</v>
      </c>
      <c r="I192" s="9">
        <v>29.49</v>
      </c>
      <c r="J192" s="9">
        <v>274.81</v>
      </c>
      <c r="K192" s="9">
        <v>47.7</v>
      </c>
      <c r="L192" s="12" t="s">
        <v>17</v>
      </c>
    </row>
    <row r="193" spans="1:12" x14ac:dyDescent="0.35">
      <c r="A193" s="13">
        <v>2022</v>
      </c>
      <c r="B193" s="14" t="s">
        <v>12</v>
      </c>
      <c r="C193" s="14" t="s">
        <v>31</v>
      </c>
      <c r="D193" s="14" t="s">
        <v>24</v>
      </c>
      <c r="E193" s="15">
        <v>34677</v>
      </c>
      <c r="F193" s="16">
        <v>15661456.58</v>
      </c>
      <c r="G193" s="14">
        <v>6.11</v>
      </c>
      <c r="H193" s="14">
        <v>101.07</v>
      </c>
      <c r="I193" s="14">
        <v>48.06</v>
      </c>
      <c r="J193" s="14">
        <v>165.76</v>
      </c>
      <c r="K193" s="14">
        <v>55.31</v>
      </c>
      <c r="L193" s="17" t="s">
        <v>17</v>
      </c>
    </row>
    <row r="194" spans="1:12" x14ac:dyDescent="0.35">
      <c r="A194" s="8">
        <v>2022</v>
      </c>
      <c r="B194" s="9" t="s">
        <v>12</v>
      </c>
      <c r="C194" s="9" t="s">
        <v>32</v>
      </c>
      <c r="D194" s="9" t="s">
        <v>24</v>
      </c>
      <c r="E194" s="10">
        <v>27735</v>
      </c>
      <c r="F194" s="11">
        <v>60038350.75</v>
      </c>
      <c r="G194" s="9">
        <v>6.4</v>
      </c>
      <c r="H194" s="9">
        <v>42.86</v>
      </c>
      <c r="I194" s="9">
        <v>50.44</v>
      </c>
      <c r="J194" s="9">
        <v>118.36</v>
      </c>
      <c r="K194" s="9">
        <v>80.72</v>
      </c>
      <c r="L194" s="12" t="s">
        <v>21</v>
      </c>
    </row>
    <row r="195" spans="1:12" x14ac:dyDescent="0.35">
      <c r="A195" s="13">
        <v>2022</v>
      </c>
      <c r="B195" s="14" t="s">
        <v>12</v>
      </c>
      <c r="C195" s="14" t="s">
        <v>33</v>
      </c>
      <c r="D195" s="14" t="s">
        <v>24</v>
      </c>
      <c r="E195" s="15">
        <v>51810</v>
      </c>
      <c r="F195" s="16">
        <v>14517045.839999899</v>
      </c>
      <c r="G195" s="14">
        <v>5.73</v>
      </c>
      <c r="H195" s="14">
        <v>51.7</v>
      </c>
      <c r="I195" s="14">
        <v>7.3599999999999897</v>
      </c>
      <c r="J195" s="14">
        <v>174.15</v>
      </c>
      <c r="K195" s="14">
        <v>73.56</v>
      </c>
      <c r="L195" s="17" t="s">
        <v>15</v>
      </c>
    </row>
    <row r="196" spans="1:12" x14ac:dyDescent="0.35">
      <c r="A196" s="8">
        <v>2022</v>
      </c>
      <c r="B196" s="9" t="s">
        <v>12</v>
      </c>
      <c r="C196" s="9" t="s">
        <v>34</v>
      </c>
      <c r="D196" s="9" t="s">
        <v>24</v>
      </c>
      <c r="E196" s="10">
        <v>46166</v>
      </c>
      <c r="F196" s="11">
        <v>19455487.420000002</v>
      </c>
      <c r="G196" s="9">
        <v>4.54</v>
      </c>
      <c r="H196" s="9">
        <v>59.94</v>
      </c>
      <c r="I196" s="9">
        <v>13.25</v>
      </c>
      <c r="J196" s="9">
        <v>195.16</v>
      </c>
      <c r="K196" s="9">
        <v>74.459999999999994</v>
      </c>
      <c r="L196" s="12" t="s">
        <v>17</v>
      </c>
    </row>
    <row r="197" spans="1:12" x14ac:dyDescent="0.35">
      <c r="A197" s="13">
        <v>2022</v>
      </c>
      <c r="B197" s="14" t="s">
        <v>35</v>
      </c>
      <c r="C197" s="14" t="s">
        <v>13</v>
      </c>
      <c r="D197" s="14" t="s">
        <v>14</v>
      </c>
      <c r="E197" s="15">
        <v>47075</v>
      </c>
      <c r="F197" s="16">
        <v>9011313.3599999994</v>
      </c>
      <c r="G197" s="14">
        <v>3.15</v>
      </c>
      <c r="H197" s="14">
        <v>87.8</v>
      </c>
      <c r="I197" s="14">
        <v>23.96</v>
      </c>
      <c r="J197" s="14">
        <v>79.959999999999994</v>
      </c>
      <c r="K197" s="14">
        <v>66.239999999999995</v>
      </c>
      <c r="L197" s="17" t="s">
        <v>17</v>
      </c>
    </row>
    <row r="198" spans="1:12" x14ac:dyDescent="0.35">
      <c r="A198" s="8">
        <v>2022</v>
      </c>
      <c r="B198" s="9" t="s">
        <v>35</v>
      </c>
      <c r="C198" s="9" t="s">
        <v>16</v>
      </c>
      <c r="D198" s="9" t="s">
        <v>14</v>
      </c>
      <c r="E198" s="10">
        <v>5465</v>
      </c>
      <c r="F198" s="11">
        <v>14185149.880000001</v>
      </c>
      <c r="G198" s="9">
        <v>1.97</v>
      </c>
      <c r="H198" s="9">
        <v>73.540000000000006</v>
      </c>
      <c r="I198" s="9">
        <v>45.99</v>
      </c>
      <c r="J198" s="9">
        <v>292.18</v>
      </c>
      <c r="K198" s="9">
        <v>37.14</v>
      </c>
      <c r="L198" s="12" t="s">
        <v>21</v>
      </c>
    </row>
    <row r="199" spans="1:12" x14ac:dyDescent="0.35">
      <c r="A199" s="13">
        <v>2022</v>
      </c>
      <c r="B199" s="14" t="s">
        <v>35</v>
      </c>
      <c r="C199" s="14" t="s">
        <v>18</v>
      </c>
      <c r="D199" s="14" t="s">
        <v>14</v>
      </c>
      <c r="E199" s="15">
        <v>22036</v>
      </c>
      <c r="F199" s="16">
        <v>14156370.640000001</v>
      </c>
      <c r="G199" s="14">
        <v>2.12</v>
      </c>
      <c r="H199" s="14">
        <v>60.31</v>
      </c>
      <c r="I199" s="14">
        <v>-0.89</v>
      </c>
      <c r="J199" s="14">
        <v>298.7</v>
      </c>
      <c r="K199" s="14">
        <v>43.46</v>
      </c>
      <c r="L199" s="17" t="s">
        <v>15</v>
      </c>
    </row>
    <row r="200" spans="1:12" x14ac:dyDescent="0.35">
      <c r="A200" s="8">
        <v>2022</v>
      </c>
      <c r="B200" s="9" t="s">
        <v>35</v>
      </c>
      <c r="C200" s="9" t="s">
        <v>20</v>
      </c>
      <c r="D200" s="9" t="s">
        <v>14</v>
      </c>
      <c r="E200" s="10">
        <v>31388</v>
      </c>
      <c r="F200" s="11">
        <v>15148576.49</v>
      </c>
      <c r="G200" s="9">
        <v>3.44</v>
      </c>
      <c r="H200" s="9">
        <v>67</v>
      </c>
      <c r="I200" s="9">
        <v>45.8</v>
      </c>
      <c r="J200" s="9">
        <v>92.32</v>
      </c>
      <c r="K200" s="9">
        <v>39.57</v>
      </c>
      <c r="L200" s="12" t="s">
        <v>27</v>
      </c>
    </row>
    <row r="201" spans="1:12" x14ac:dyDescent="0.35">
      <c r="A201" s="13">
        <v>2022</v>
      </c>
      <c r="B201" s="14" t="s">
        <v>35</v>
      </c>
      <c r="C201" s="14" t="s">
        <v>22</v>
      </c>
      <c r="D201" s="14" t="s">
        <v>14</v>
      </c>
      <c r="E201" s="15">
        <v>33806</v>
      </c>
      <c r="F201" s="16">
        <v>23699378.708999999</v>
      </c>
      <c r="G201" s="14">
        <v>-0.23</v>
      </c>
      <c r="H201" s="14">
        <v>77.31</v>
      </c>
      <c r="I201" s="14">
        <v>47.51</v>
      </c>
      <c r="J201" s="14">
        <v>129.69999999999999</v>
      </c>
      <c r="K201" s="14">
        <v>78.41</v>
      </c>
      <c r="L201" s="17" t="s">
        <v>21</v>
      </c>
    </row>
    <row r="202" spans="1:12" x14ac:dyDescent="0.35">
      <c r="A202" s="8">
        <v>2022</v>
      </c>
      <c r="B202" s="9" t="s">
        <v>35</v>
      </c>
      <c r="C202" s="9" t="s">
        <v>23</v>
      </c>
      <c r="D202" s="9" t="s">
        <v>24</v>
      </c>
      <c r="E202" s="10">
        <v>46798</v>
      </c>
      <c r="F202" s="11">
        <v>34010964.590000004</v>
      </c>
      <c r="G202" s="9">
        <v>2.84</v>
      </c>
      <c r="H202" s="9">
        <v>95.15</v>
      </c>
      <c r="I202" s="9">
        <v>47.23</v>
      </c>
      <c r="J202" s="9">
        <v>287.88</v>
      </c>
      <c r="K202" s="9">
        <v>87.65</v>
      </c>
      <c r="L202" s="12" t="s">
        <v>19</v>
      </c>
    </row>
    <row r="203" spans="1:12" x14ac:dyDescent="0.35">
      <c r="A203" s="13">
        <v>2022</v>
      </c>
      <c r="B203" s="14" t="s">
        <v>35</v>
      </c>
      <c r="C203" s="14" t="s">
        <v>25</v>
      </c>
      <c r="D203" s="14" t="s">
        <v>24</v>
      </c>
      <c r="E203" s="15">
        <v>15007</v>
      </c>
      <c r="F203" s="16">
        <v>56176071.659999996</v>
      </c>
      <c r="G203" s="14">
        <v>6.81</v>
      </c>
      <c r="H203" s="14">
        <v>83.96</v>
      </c>
      <c r="I203" s="14">
        <v>44.71</v>
      </c>
      <c r="J203" s="14">
        <v>258.98</v>
      </c>
      <c r="K203" s="14">
        <v>59.6</v>
      </c>
      <c r="L203" s="17" t="s">
        <v>17</v>
      </c>
    </row>
    <row r="204" spans="1:12" x14ac:dyDescent="0.35">
      <c r="A204" s="8">
        <v>2022</v>
      </c>
      <c r="B204" s="9" t="s">
        <v>35</v>
      </c>
      <c r="C204" s="9" t="s">
        <v>26</v>
      </c>
      <c r="D204" s="9" t="s">
        <v>24</v>
      </c>
      <c r="E204" s="10">
        <v>10585</v>
      </c>
      <c r="F204" s="11">
        <v>29685804.23</v>
      </c>
      <c r="G204" s="9">
        <v>3.51</v>
      </c>
      <c r="H204" s="9">
        <v>93.42</v>
      </c>
      <c r="I204" s="9">
        <v>38.630000000000003</v>
      </c>
      <c r="J204" s="9">
        <v>171.64</v>
      </c>
      <c r="K204" s="9">
        <v>87.93</v>
      </c>
      <c r="L204" s="12" t="s">
        <v>27</v>
      </c>
    </row>
    <row r="205" spans="1:12" x14ac:dyDescent="0.35">
      <c r="A205" s="13">
        <v>2022</v>
      </c>
      <c r="B205" s="14" t="s">
        <v>35</v>
      </c>
      <c r="C205" s="14" t="s">
        <v>28</v>
      </c>
      <c r="D205" s="14" t="s">
        <v>24</v>
      </c>
      <c r="E205" s="15">
        <v>10415</v>
      </c>
      <c r="F205" s="16">
        <v>16056993.77</v>
      </c>
      <c r="G205" s="14">
        <v>2.85</v>
      </c>
      <c r="H205" s="14">
        <v>87.84</v>
      </c>
      <c r="I205" s="14">
        <v>42.48</v>
      </c>
      <c r="J205" s="14">
        <v>160.24</v>
      </c>
      <c r="K205" s="14">
        <v>51.79</v>
      </c>
      <c r="L205" s="17" t="s">
        <v>15</v>
      </c>
    </row>
    <row r="206" spans="1:12" x14ac:dyDescent="0.35">
      <c r="A206" s="8">
        <v>2022</v>
      </c>
      <c r="B206" s="9" t="s">
        <v>35</v>
      </c>
      <c r="C206" s="9" t="s">
        <v>29</v>
      </c>
      <c r="D206" s="9" t="s">
        <v>24</v>
      </c>
      <c r="E206" s="10">
        <v>54159</v>
      </c>
      <c r="F206" s="11">
        <v>43416974.450000003</v>
      </c>
      <c r="G206" s="9">
        <v>5.91</v>
      </c>
      <c r="H206" s="9">
        <v>101.8</v>
      </c>
      <c r="I206" s="9">
        <v>45.27</v>
      </c>
      <c r="J206" s="9">
        <v>232.71</v>
      </c>
      <c r="K206" s="9">
        <v>51.01</v>
      </c>
      <c r="L206" s="12" t="s">
        <v>17</v>
      </c>
    </row>
    <row r="207" spans="1:12" x14ac:dyDescent="0.35">
      <c r="A207" s="13">
        <v>2022</v>
      </c>
      <c r="B207" s="14" t="s">
        <v>35</v>
      </c>
      <c r="C207" s="14" t="s">
        <v>30</v>
      </c>
      <c r="D207" s="14" t="s">
        <v>24</v>
      </c>
      <c r="E207" s="15">
        <v>17217</v>
      </c>
      <c r="F207" s="16">
        <v>31929959.75</v>
      </c>
      <c r="G207" s="14">
        <v>3.68</v>
      </c>
      <c r="H207" s="14">
        <v>41.36</v>
      </c>
      <c r="I207" s="14">
        <v>32</v>
      </c>
      <c r="J207" s="14">
        <v>291.72000000000003</v>
      </c>
      <c r="K207" s="14">
        <v>45.78</v>
      </c>
      <c r="L207" s="17" t="s">
        <v>19</v>
      </c>
    </row>
    <row r="208" spans="1:12" x14ac:dyDescent="0.35">
      <c r="A208" s="8">
        <v>2022</v>
      </c>
      <c r="B208" s="9" t="s">
        <v>35</v>
      </c>
      <c r="C208" s="9" t="s">
        <v>31</v>
      </c>
      <c r="D208" s="9" t="s">
        <v>24</v>
      </c>
      <c r="E208" s="10">
        <v>53719</v>
      </c>
      <c r="F208" s="11">
        <v>15328592.42</v>
      </c>
      <c r="G208" s="9">
        <v>3.88</v>
      </c>
      <c r="H208" s="9">
        <v>79.25</v>
      </c>
      <c r="I208" s="9">
        <v>36.07</v>
      </c>
      <c r="J208" s="9">
        <v>286.49</v>
      </c>
      <c r="K208" s="9">
        <v>48.06</v>
      </c>
      <c r="L208" s="12" t="s">
        <v>21</v>
      </c>
    </row>
    <row r="209" spans="1:12" x14ac:dyDescent="0.35">
      <c r="A209" s="13">
        <v>2022</v>
      </c>
      <c r="B209" s="14" t="s">
        <v>35</v>
      </c>
      <c r="C209" s="14" t="s">
        <v>32</v>
      </c>
      <c r="D209" s="14" t="s">
        <v>24</v>
      </c>
      <c r="E209" s="15">
        <v>58156</v>
      </c>
      <c r="F209" s="16">
        <v>45419753.700000003</v>
      </c>
      <c r="G209" s="14">
        <v>4.2799999999999896</v>
      </c>
      <c r="H209" s="14">
        <v>88.11</v>
      </c>
      <c r="I209" s="14">
        <v>44.95</v>
      </c>
      <c r="J209" s="14">
        <v>232.59</v>
      </c>
      <c r="K209" s="14">
        <v>86.74</v>
      </c>
      <c r="L209" s="17" t="s">
        <v>19</v>
      </c>
    </row>
    <row r="210" spans="1:12" x14ac:dyDescent="0.35">
      <c r="A210" s="8">
        <v>2022</v>
      </c>
      <c r="B210" s="9" t="s">
        <v>35</v>
      </c>
      <c r="C210" s="9" t="s">
        <v>33</v>
      </c>
      <c r="D210" s="9" t="s">
        <v>24</v>
      </c>
      <c r="E210" s="10">
        <v>33117</v>
      </c>
      <c r="F210" s="11">
        <v>5432435.60399999</v>
      </c>
      <c r="G210" s="9">
        <v>6.58</v>
      </c>
      <c r="H210" s="9">
        <v>83.47</v>
      </c>
      <c r="I210" s="9">
        <v>38.520000000000003</v>
      </c>
      <c r="J210" s="9">
        <v>282.72000000000003</v>
      </c>
      <c r="K210" s="9">
        <v>86.09</v>
      </c>
      <c r="L210" s="12" t="s">
        <v>15</v>
      </c>
    </row>
    <row r="211" spans="1:12" x14ac:dyDescent="0.35">
      <c r="A211" s="13">
        <v>2022</v>
      </c>
      <c r="B211" s="14" t="s">
        <v>35</v>
      </c>
      <c r="C211" s="14" t="s">
        <v>34</v>
      </c>
      <c r="D211" s="14" t="s">
        <v>24</v>
      </c>
      <c r="E211" s="15">
        <v>24948</v>
      </c>
      <c r="F211" s="16">
        <v>7564107.5760000004</v>
      </c>
      <c r="G211" s="14">
        <v>3.51</v>
      </c>
      <c r="H211" s="14">
        <v>89.68</v>
      </c>
      <c r="I211" s="14">
        <v>53.4</v>
      </c>
      <c r="J211" s="14">
        <v>284.12</v>
      </c>
      <c r="K211" s="14">
        <v>72.56</v>
      </c>
      <c r="L211" s="17" t="s">
        <v>17</v>
      </c>
    </row>
    <row r="212" spans="1:12" x14ac:dyDescent="0.35">
      <c r="A212" s="8">
        <v>2022</v>
      </c>
      <c r="B212" s="9" t="s">
        <v>36</v>
      </c>
      <c r="C212" s="9" t="s">
        <v>13</v>
      </c>
      <c r="D212" s="9" t="s">
        <v>14</v>
      </c>
      <c r="E212" s="10">
        <v>10671</v>
      </c>
      <c r="F212" s="11">
        <v>9842035.3650000002</v>
      </c>
      <c r="G212" s="9">
        <v>0.25</v>
      </c>
      <c r="H212" s="9">
        <v>50.83</v>
      </c>
      <c r="I212" s="9">
        <v>26.94</v>
      </c>
      <c r="J212" s="9">
        <v>249.36</v>
      </c>
      <c r="K212" s="9">
        <v>77.13</v>
      </c>
      <c r="L212" s="12" t="s">
        <v>15</v>
      </c>
    </row>
    <row r="213" spans="1:12" x14ac:dyDescent="0.35">
      <c r="A213" s="13">
        <v>2022</v>
      </c>
      <c r="B213" s="14" t="s">
        <v>36</v>
      </c>
      <c r="C213" s="14" t="s">
        <v>16</v>
      </c>
      <c r="D213" s="14" t="s">
        <v>14</v>
      </c>
      <c r="E213" s="15">
        <v>27006</v>
      </c>
      <c r="F213" s="16">
        <v>5136019.5420000004</v>
      </c>
      <c r="G213" s="14">
        <v>0.36</v>
      </c>
      <c r="H213" s="14">
        <v>70.180000000000007</v>
      </c>
      <c r="I213" s="14">
        <v>-0.05</v>
      </c>
      <c r="J213" s="14">
        <v>179.88</v>
      </c>
      <c r="K213" s="14">
        <v>63.62</v>
      </c>
      <c r="L213" s="17" t="s">
        <v>19</v>
      </c>
    </row>
    <row r="214" spans="1:12" x14ac:dyDescent="0.35">
      <c r="A214" s="8">
        <v>2022</v>
      </c>
      <c r="B214" s="9" t="s">
        <v>36</v>
      </c>
      <c r="C214" s="9" t="s">
        <v>18</v>
      </c>
      <c r="D214" s="9" t="s">
        <v>14</v>
      </c>
      <c r="E214" s="10">
        <v>35658</v>
      </c>
      <c r="F214" s="11">
        <v>14607494.42</v>
      </c>
      <c r="G214" s="9">
        <v>1.18</v>
      </c>
      <c r="H214" s="9">
        <v>33.54</v>
      </c>
      <c r="I214" s="9">
        <v>9.9600000000000009</v>
      </c>
      <c r="J214" s="9">
        <v>232.38</v>
      </c>
      <c r="K214" s="9">
        <v>66.959999999999994</v>
      </c>
      <c r="L214" s="12" t="s">
        <v>15</v>
      </c>
    </row>
    <row r="215" spans="1:12" x14ac:dyDescent="0.35">
      <c r="A215" s="13">
        <v>2022</v>
      </c>
      <c r="B215" s="14" t="s">
        <v>36</v>
      </c>
      <c r="C215" s="14" t="s">
        <v>20</v>
      </c>
      <c r="D215" s="14" t="s">
        <v>14</v>
      </c>
      <c r="E215" s="15">
        <v>8330</v>
      </c>
      <c r="F215" s="16">
        <v>26191927.649999999</v>
      </c>
      <c r="G215" s="14">
        <v>4</v>
      </c>
      <c r="H215" s="14">
        <v>73.87</v>
      </c>
      <c r="I215" s="14">
        <v>24.35</v>
      </c>
      <c r="J215" s="14">
        <v>169.49</v>
      </c>
      <c r="K215" s="14">
        <v>53.29</v>
      </c>
      <c r="L215" s="17" t="s">
        <v>21</v>
      </c>
    </row>
    <row r="216" spans="1:12" x14ac:dyDescent="0.35">
      <c r="A216" s="8">
        <v>2022</v>
      </c>
      <c r="B216" s="9" t="s">
        <v>36</v>
      </c>
      <c r="C216" s="9" t="s">
        <v>22</v>
      </c>
      <c r="D216" s="9" t="s">
        <v>14</v>
      </c>
      <c r="E216" s="10">
        <v>32243</v>
      </c>
      <c r="F216" s="11">
        <v>28519800.440000001</v>
      </c>
      <c r="G216" s="9">
        <v>0.12999999999999901</v>
      </c>
      <c r="H216" s="9">
        <v>27.27</v>
      </c>
      <c r="I216" s="9">
        <v>22.56</v>
      </c>
      <c r="J216" s="9">
        <v>82.24</v>
      </c>
      <c r="K216" s="9">
        <v>53.9</v>
      </c>
      <c r="L216" s="12" t="s">
        <v>21</v>
      </c>
    </row>
    <row r="217" spans="1:12" x14ac:dyDescent="0.35">
      <c r="A217" s="13">
        <v>2022</v>
      </c>
      <c r="B217" s="14" t="s">
        <v>36</v>
      </c>
      <c r="C217" s="14" t="s">
        <v>23</v>
      </c>
      <c r="D217" s="14" t="s">
        <v>24</v>
      </c>
      <c r="E217" s="15">
        <v>49871</v>
      </c>
      <c r="F217" s="16">
        <v>8902985.2439999897</v>
      </c>
      <c r="G217" s="14">
        <v>6.82</v>
      </c>
      <c r="H217" s="14">
        <v>48.95</v>
      </c>
      <c r="I217" s="14">
        <v>18.68</v>
      </c>
      <c r="J217" s="14">
        <v>240.7</v>
      </c>
      <c r="K217" s="14">
        <v>53.91</v>
      </c>
      <c r="L217" s="17" t="s">
        <v>21</v>
      </c>
    </row>
    <row r="218" spans="1:12" x14ac:dyDescent="0.35">
      <c r="A218" s="8">
        <v>2022</v>
      </c>
      <c r="B218" s="9" t="s">
        <v>36</v>
      </c>
      <c r="C218" s="9" t="s">
        <v>25</v>
      </c>
      <c r="D218" s="9" t="s">
        <v>24</v>
      </c>
      <c r="E218" s="10">
        <v>39287</v>
      </c>
      <c r="F218" s="11">
        <v>21438284.870000001</v>
      </c>
      <c r="G218" s="9">
        <v>4.97</v>
      </c>
      <c r="H218" s="9">
        <v>70.25</v>
      </c>
      <c r="I218" s="9">
        <v>52.39</v>
      </c>
      <c r="J218" s="9">
        <v>215.78</v>
      </c>
      <c r="K218" s="9">
        <v>74.819999999999993</v>
      </c>
      <c r="L218" s="12" t="s">
        <v>21</v>
      </c>
    </row>
    <row r="219" spans="1:12" x14ac:dyDescent="0.35">
      <c r="A219" s="13">
        <v>2022</v>
      </c>
      <c r="B219" s="14" t="s">
        <v>36</v>
      </c>
      <c r="C219" s="14" t="s">
        <v>26</v>
      </c>
      <c r="D219" s="14" t="s">
        <v>24</v>
      </c>
      <c r="E219" s="15">
        <v>43668</v>
      </c>
      <c r="F219" s="16">
        <v>32615703.949999999</v>
      </c>
      <c r="G219" s="14">
        <v>3.64</v>
      </c>
      <c r="H219" s="14">
        <v>41.86</v>
      </c>
      <c r="I219" s="14">
        <v>25.87</v>
      </c>
      <c r="J219" s="14">
        <v>164.53</v>
      </c>
      <c r="K219" s="14">
        <v>62.1</v>
      </c>
      <c r="L219" s="17" t="s">
        <v>19</v>
      </c>
    </row>
    <row r="220" spans="1:12" x14ac:dyDescent="0.35">
      <c r="A220" s="8">
        <v>2022</v>
      </c>
      <c r="B220" s="9" t="s">
        <v>36</v>
      </c>
      <c r="C220" s="9" t="s">
        <v>28</v>
      </c>
      <c r="D220" s="9" t="s">
        <v>24</v>
      </c>
      <c r="E220" s="10">
        <v>64883</v>
      </c>
      <c r="F220" s="11">
        <v>70601769.767999902</v>
      </c>
      <c r="G220" s="9">
        <v>4.5999999999999996</v>
      </c>
      <c r="H220" s="9">
        <v>61.16</v>
      </c>
      <c r="I220" s="9">
        <v>31.32</v>
      </c>
      <c r="J220" s="9">
        <v>154.51</v>
      </c>
      <c r="K220" s="9">
        <v>92.8</v>
      </c>
      <c r="L220" s="12" t="s">
        <v>17</v>
      </c>
    </row>
    <row r="221" spans="1:12" x14ac:dyDescent="0.35">
      <c r="A221" s="13">
        <v>2022</v>
      </c>
      <c r="B221" s="14" t="s">
        <v>36</v>
      </c>
      <c r="C221" s="14" t="s">
        <v>29</v>
      </c>
      <c r="D221" s="14" t="s">
        <v>24</v>
      </c>
      <c r="E221" s="15">
        <v>29698</v>
      </c>
      <c r="F221" s="16">
        <v>9547956.3839999996</v>
      </c>
      <c r="G221" s="14">
        <v>3.14</v>
      </c>
      <c r="H221" s="14">
        <v>93.12</v>
      </c>
      <c r="I221" s="14">
        <v>34.76</v>
      </c>
      <c r="J221" s="14">
        <v>246.75</v>
      </c>
      <c r="K221" s="14">
        <v>65.459999999999994</v>
      </c>
      <c r="L221" s="17" t="s">
        <v>19</v>
      </c>
    </row>
    <row r="222" spans="1:12" x14ac:dyDescent="0.35">
      <c r="A222" s="8">
        <v>2022</v>
      </c>
      <c r="B222" s="9" t="s">
        <v>36</v>
      </c>
      <c r="C222" s="9" t="s">
        <v>30</v>
      </c>
      <c r="D222" s="9" t="s">
        <v>24</v>
      </c>
      <c r="E222" s="10">
        <v>16005</v>
      </c>
      <c r="F222" s="11">
        <v>41833223.630000003</v>
      </c>
      <c r="G222" s="9">
        <v>6.71</v>
      </c>
      <c r="H222" s="9">
        <v>88.73</v>
      </c>
      <c r="I222" s="9">
        <v>39.93</v>
      </c>
      <c r="J222" s="9">
        <v>281.7</v>
      </c>
      <c r="K222" s="9">
        <v>86.82</v>
      </c>
      <c r="L222" s="12" t="s">
        <v>19</v>
      </c>
    </row>
    <row r="223" spans="1:12" x14ac:dyDescent="0.35">
      <c r="A223" s="13">
        <v>2022</v>
      </c>
      <c r="B223" s="14" t="s">
        <v>36</v>
      </c>
      <c r="C223" s="14" t="s">
        <v>31</v>
      </c>
      <c r="D223" s="14" t="s">
        <v>24</v>
      </c>
      <c r="E223" s="15">
        <v>55071</v>
      </c>
      <c r="F223" s="16">
        <v>52340365.75</v>
      </c>
      <c r="G223" s="14">
        <v>3.6</v>
      </c>
      <c r="H223" s="14">
        <v>55.45</v>
      </c>
      <c r="I223" s="14">
        <v>51.49</v>
      </c>
      <c r="J223" s="14">
        <v>279.27</v>
      </c>
      <c r="K223" s="14">
        <v>73.87</v>
      </c>
      <c r="L223" s="17" t="s">
        <v>27</v>
      </c>
    </row>
    <row r="224" spans="1:12" x14ac:dyDescent="0.35">
      <c r="A224" s="8">
        <v>2022</v>
      </c>
      <c r="B224" s="9" t="s">
        <v>36</v>
      </c>
      <c r="C224" s="9" t="s">
        <v>32</v>
      </c>
      <c r="D224" s="9" t="s">
        <v>24</v>
      </c>
      <c r="E224" s="10">
        <v>55853</v>
      </c>
      <c r="F224" s="11">
        <v>6813706.7280000001</v>
      </c>
      <c r="G224" s="9">
        <v>4.88</v>
      </c>
      <c r="H224" s="9">
        <v>62.85</v>
      </c>
      <c r="I224" s="9">
        <v>33.76</v>
      </c>
      <c r="J224" s="9">
        <v>63.15</v>
      </c>
      <c r="K224" s="9">
        <v>69.849999999999994</v>
      </c>
      <c r="L224" s="12" t="s">
        <v>21</v>
      </c>
    </row>
    <row r="225" spans="1:12" x14ac:dyDescent="0.35">
      <c r="A225" s="13">
        <v>2022</v>
      </c>
      <c r="B225" s="14" t="s">
        <v>36</v>
      </c>
      <c r="C225" s="14" t="s">
        <v>33</v>
      </c>
      <c r="D225" s="14" t="s">
        <v>24</v>
      </c>
      <c r="E225" s="15">
        <v>47291</v>
      </c>
      <c r="F225" s="16">
        <v>19328484.68</v>
      </c>
      <c r="G225" s="14">
        <v>6.51</v>
      </c>
      <c r="H225" s="14">
        <v>102.8</v>
      </c>
      <c r="I225" s="14">
        <v>36.28</v>
      </c>
      <c r="J225" s="14">
        <v>222.44</v>
      </c>
      <c r="K225" s="14">
        <v>74.489999999999995</v>
      </c>
      <c r="L225" s="17" t="s">
        <v>15</v>
      </c>
    </row>
    <row r="226" spans="1:12" x14ac:dyDescent="0.35">
      <c r="A226" s="8">
        <v>2022</v>
      </c>
      <c r="B226" s="9" t="s">
        <v>36</v>
      </c>
      <c r="C226" s="9" t="s">
        <v>34</v>
      </c>
      <c r="D226" s="9" t="s">
        <v>24</v>
      </c>
      <c r="E226" s="10">
        <v>30901</v>
      </c>
      <c r="F226" s="11">
        <v>11882936.57</v>
      </c>
      <c r="G226" s="9">
        <v>3.47</v>
      </c>
      <c r="H226" s="9">
        <v>95.55</v>
      </c>
      <c r="I226" s="9">
        <v>15.87</v>
      </c>
      <c r="J226" s="9">
        <v>182.47</v>
      </c>
      <c r="K226" s="9">
        <v>50.98</v>
      </c>
      <c r="L226" s="12" t="s">
        <v>15</v>
      </c>
    </row>
    <row r="227" spans="1:12" x14ac:dyDescent="0.35">
      <c r="A227" s="13">
        <v>2022</v>
      </c>
      <c r="B227" s="14" t="s">
        <v>37</v>
      </c>
      <c r="C227" s="14" t="s">
        <v>13</v>
      </c>
      <c r="D227" s="14" t="s">
        <v>14</v>
      </c>
      <c r="E227" s="15">
        <v>8330</v>
      </c>
      <c r="F227" s="16">
        <v>4252116.8880000003</v>
      </c>
      <c r="G227" s="14">
        <v>2.0099999999999998</v>
      </c>
      <c r="H227" s="14">
        <v>89.2</v>
      </c>
      <c r="I227" s="14">
        <v>17.57</v>
      </c>
      <c r="J227" s="14">
        <v>213.49</v>
      </c>
      <c r="K227" s="14">
        <v>61.069999999999901</v>
      </c>
      <c r="L227" s="17" t="s">
        <v>21</v>
      </c>
    </row>
    <row r="228" spans="1:12" x14ac:dyDescent="0.35">
      <c r="A228" s="8">
        <v>2022</v>
      </c>
      <c r="B228" s="9" t="s">
        <v>37</v>
      </c>
      <c r="C228" s="9" t="s">
        <v>16</v>
      </c>
      <c r="D228" s="9" t="s">
        <v>14</v>
      </c>
      <c r="E228" s="10">
        <v>16902</v>
      </c>
      <c r="F228" s="11">
        <v>45919818.68</v>
      </c>
      <c r="G228" s="9">
        <v>-0.25</v>
      </c>
      <c r="H228" s="9">
        <v>68.67</v>
      </c>
      <c r="I228" s="9">
        <v>2.5299999999999998</v>
      </c>
      <c r="J228" s="9">
        <v>66.34</v>
      </c>
      <c r="K228" s="9">
        <v>47.23</v>
      </c>
      <c r="L228" s="12" t="s">
        <v>15</v>
      </c>
    </row>
    <row r="229" spans="1:12" x14ac:dyDescent="0.35">
      <c r="A229" s="13">
        <v>2022</v>
      </c>
      <c r="B229" s="14" t="s">
        <v>37</v>
      </c>
      <c r="C229" s="14" t="s">
        <v>18</v>
      </c>
      <c r="D229" s="14" t="s">
        <v>14</v>
      </c>
      <c r="E229" s="15">
        <v>10352</v>
      </c>
      <c r="F229" s="16">
        <v>10351376.890000001</v>
      </c>
      <c r="G229" s="14">
        <v>3.16</v>
      </c>
      <c r="H229" s="14">
        <v>68.23</v>
      </c>
      <c r="I229" s="14">
        <v>24.33</v>
      </c>
      <c r="J229" s="14">
        <v>137.24</v>
      </c>
      <c r="K229" s="14">
        <v>49.71</v>
      </c>
      <c r="L229" s="17" t="s">
        <v>15</v>
      </c>
    </row>
    <row r="230" spans="1:12" x14ac:dyDescent="0.35">
      <c r="A230" s="8">
        <v>2022</v>
      </c>
      <c r="B230" s="9" t="s">
        <v>37</v>
      </c>
      <c r="C230" s="9" t="s">
        <v>20</v>
      </c>
      <c r="D230" s="9" t="s">
        <v>14</v>
      </c>
      <c r="E230" s="10">
        <v>20904</v>
      </c>
      <c r="F230" s="11">
        <v>41945284.640000001</v>
      </c>
      <c r="G230" s="9">
        <v>-0.06</v>
      </c>
      <c r="H230" s="9">
        <v>53.51</v>
      </c>
      <c r="I230" s="9">
        <v>35.450000000000003</v>
      </c>
      <c r="J230" s="9">
        <v>63.87</v>
      </c>
      <c r="K230" s="9">
        <v>78.05</v>
      </c>
      <c r="L230" s="12" t="s">
        <v>15</v>
      </c>
    </row>
    <row r="231" spans="1:12" x14ac:dyDescent="0.35">
      <c r="A231" s="13">
        <v>2022</v>
      </c>
      <c r="B231" s="14" t="s">
        <v>37</v>
      </c>
      <c r="C231" s="14" t="s">
        <v>22</v>
      </c>
      <c r="D231" s="14" t="s">
        <v>14</v>
      </c>
      <c r="E231" s="15">
        <v>32799</v>
      </c>
      <c r="F231" s="16">
        <v>30084811.850000001</v>
      </c>
      <c r="G231" s="14">
        <v>0.7</v>
      </c>
      <c r="H231" s="14">
        <v>89.07</v>
      </c>
      <c r="I231" s="14">
        <v>45.08</v>
      </c>
      <c r="J231" s="14">
        <v>253.23</v>
      </c>
      <c r="K231" s="14">
        <v>61.38</v>
      </c>
      <c r="L231" s="17" t="s">
        <v>27</v>
      </c>
    </row>
    <row r="232" spans="1:12" x14ac:dyDescent="0.35">
      <c r="A232" s="8">
        <v>2022</v>
      </c>
      <c r="B232" s="9" t="s">
        <v>37</v>
      </c>
      <c r="C232" s="9" t="s">
        <v>23</v>
      </c>
      <c r="D232" s="9" t="s">
        <v>24</v>
      </c>
      <c r="E232" s="10">
        <v>17884</v>
      </c>
      <c r="F232" s="11">
        <v>11319455.1</v>
      </c>
      <c r="G232" s="9">
        <v>4.18</v>
      </c>
      <c r="H232" s="9">
        <v>99.95</v>
      </c>
      <c r="I232" s="9">
        <v>7.17</v>
      </c>
      <c r="J232" s="9">
        <v>265.77999999999997</v>
      </c>
      <c r="K232" s="9">
        <v>86.45</v>
      </c>
      <c r="L232" s="12" t="s">
        <v>21</v>
      </c>
    </row>
    <row r="233" spans="1:12" x14ac:dyDescent="0.35">
      <c r="A233" s="13">
        <v>2022</v>
      </c>
      <c r="B233" s="14" t="s">
        <v>37</v>
      </c>
      <c r="C233" s="14" t="s">
        <v>25</v>
      </c>
      <c r="D233" s="14" t="s">
        <v>24</v>
      </c>
      <c r="E233" s="15">
        <v>40963</v>
      </c>
      <c r="F233" s="16">
        <v>10902531.08</v>
      </c>
      <c r="G233" s="14">
        <v>2.86</v>
      </c>
      <c r="H233" s="14">
        <v>42.87</v>
      </c>
      <c r="I233" s="14">
        <v>21.56</v>
      </c>
      <c r="J233" s="14">
        <v>281.31</v>
      </c>
      <c r="K233" s="14">
        <v>81.510000000000005</v>
      </c>
      <c r="L233" s="17" t="s">
        <v>19</v>
      </c>
    </row>
    <row r="234" spans="1:12" x14ac:dyDescent="0.35">
      <c r="A234" s="8">
        <v>2022</v>
      </c>
      <c r="B234" s="9" t="s">
        <v>37</v>
      </c>
      <c r="C234" s="9" t="s">
        <v>26</v>
      </c>
      <c r="D234" s="9" t="s">
        <v>24</v>
      </c>
      <c r="E234" s="10">
        <v>15691</v>
      </c>
      <c r="F234" s="11">
        <v>21823040.170000002</v>
      </c>
      <c r="G234" s="9">
        <v>3.07</v>
      </c>
      <c r="H234" s="9">
        <v>42.69</v>
      </c>
      <c r="I234" s="9">
        <v>42.69</v>
      </c>
      <c r="J234" s="9">
        <v>135.63</v>
      </c>
      <c r="K234" s="9">
        <v>72.27</v>
      </c>
      <c r="L234" s="12" t="s">
        <v>21</v>
      </c>
    </row>
    <row r="235" spans="1:12" x14ac:dyDescent="0.35">
      <c r="A235" s="13">
        <v>2022</v>
      </c>
      <c r="B235" s="14" t="s">
        <v>37</v>
      </c>
      <c r="C235" s="14" t="s">
        <v>28</v>
      </c>
      <c r="D235" s="14" t="s">
        <v>24</v>
      </c>
      <c r="E235" s="15">
        <v>23653</v>
      </c>
      <c r="F235" s="16">
        <v>24085328.149999999</v>
      </c>
      <c r="G235" s="14">
        <v>5.64</v>
      </c>
      <c r="H235" s="14">
        <v>87.55</v>
      </c>
      <c r="I235" s="14">
        <v>41.3</v>
      </c>
      <c r="J235" s="14">
        <v>170.64</v>
      </c>
      <c r="K235" s="14">
        <v>46.15</v>
      </c>
      <c r="L235" s="17" t="s">
        <v>27</v>
      </c>
    </row>
    <row r="236" spans="1:12" x14ac:dyDescent="0.35">
      <c r="A236" s="8">
        <v>2022</v>
      </c>
      <c r="B236" s="9" t="s">
        <v>37</v>
      </c>
      <c r="C236" s="9" t="s">
        <v>29</v>
      </c>
      <c r="D236" s="9" t="s">
        <v>24</v>
      </c>
      <c r="E236" s="10">
        <v>56264</v>
      </c>
      <c r="F236" s="11">
        <v>11515465.800000001</v>
      </c>
      <c r="G236" s="9">
        <v>3.42</v>
      </c>
      <c r="H236" s="9">
        <v>82.21</v>
      </c>
      <c r="I236" s="9">
        <v>39.950000000000003</v>
      </c>
      <c r="J236" s="9">
        <v>68.7</v>
      </c>
      <c r="K236" s="9">
        <v>94.84</v>
      </c>
      <c r="L236" s="12" t="s">
        <v>27</v>
      </c>
    </row>
    <row r="237" spans="1:12" x14ac:dyDescent="0.35">
      <c r="A237" s="13">
        <v>2022</v>
      </c>
      <c r="B237" s="14" t="s">
        <v>37</v>
      </c>
      <c r="C237" s="14" t="s">
        <v>30</v>
      </c>
      <c r="D237" s="14" t="s">
        <v>24</v>
      </c>
      <c r="E237" s="15">
        <v>47629</v>
      </c>
      <c r="F237" s="16">
        <v>40258147.689999998</v>
      </c>
      <c r="G237" s="14">
        <v>2.59</v>
      </c>
      <c r="H237" s="14">
        <v>62.4</v>
      </c>
      <c r="I237" s="14">
        <v>46.2</v>
      </c>
      <c r="J237" s="14">
        <v>174.55</v>
      </c>
      <c r="K237" s="14">
        <v>88.86</v>
      </c>
      <c r="L237" s="17" t="s">
        <v>17</v>
      </c>
    </row>
    <row r="238" spans="1:12" x14ac:dyDescent="0.35">
      <c r="A238" s="8">
        <v>2022</v>
      </c>
      <c r="B238" s="9" t="s">
        <v>37</v>
      </c>
      <c r="C238" s="9" t="s">
        <v>31</v>
      </c>
      <c r="D238" s="9" t="s">
        <v>24</v>
      </c>
      <c r="E238" s="10">
        <v>22829</v>
      </c>
      <c r="F238" s="11">
        <v>33124655.16</v>
      </c>
      <c r="G238" s="9">
        <v>6.4</v>
      </c>
      <c r="H238" s="9">
        <v>70.69</v>
      </c>
      <c r="I238" s="9">
        <v>26.25</v>
      </c>
      <c r="J238" s="9">
        <v>125.31</v>
      </c>
      <c r="K238" s="9">
        <v>93.2</v>
      </c>
      <c r="L238" s="12" t="s">
        <v>21</v>
      </c>
    </row>
    <row r="239" spans="1:12" x14ac:dyDescent="0.35">
      <c r="A239" s="13">
        <v>2022</v>
      </c>
      <c r="B239" s="14" t="s">
        <v>37</v>
      </c>
      <c r="C239" s="14" t="s">
        <v>32</v>
      </c>
      <c r="D239" s="14" t="s">
        <v>24</v>
      </c>
      <c r="E239" s="15">
        <v>33785</v>
      </c>
      <c r="F239" s="16">
        <v>47573854.619999997</v>
      </c>
      <c r="G239" s="14">
        <v>5.64</v>
      </c>
      <c r="H239" s="14">
        <v>92.95</v>
      </c>
      <c r="I239" s="14">
        <v>33.129999999999903</v>
      </c>
      <c r="J239" s="14">
        <v>109.94</v>
      </c>
      <c r="K239" s="14">
        <v>93.28</v>
      </c>
      <c r="L239" s="17" t="s">
        <v>17</v>
      </c>
    </row>
    <row r="240" spans="1:12" x14ac:dyDescent="0.35">
      <c r="A240" s="8">
        <v>2022</v>
      </c>
      <c r="B240" s="9" t="s">
        <v>37</v>
      </c>
      <c r="C240" s="9" t="s">
        <v>33</v>
      </c>
      <c r="D240" s="9" t="s">
        <v>24</v>
      </c>
      <c r="E240" s="10">
        <v>28676</v>
      </c>
      <c r="F240" s="11">
        <v>33319538.640000001</v>
      </c>
      <c r="G240" s="9">
        <v>5.17</v>
      </c>
      <c r="H240" s="9">
        <v>80.3</v>
      </c>
      <c r="I240" s="9">
        <v>30.76</v>
      </c>
      <c r="J240" s="9">
        <v>213.39</v>
      </c>
      <c r="K240" s="9">
        <v>76.2</v>
      </c>
      <c r="L240" s="12" t="s">
        <v>15</v>
      </c>
    </row>
    <row r="241" spans="1:12" x14ac:dyDescent="0.35">
      <c r="A241" s="13">
        <v>2022</v>
      </c>
      <c r="B241" s="14" t="s">
        <v>37</v>
      </c>
      <c r="C241" s="14" t="s">
        <v>34</v>
      </c>
      <c r="D241" s="14" t="s">
        <v>24</v>
      </c>
      <c r="E241" s="15">
        <v>62215</v>
      </c>
      <c r="F241" s="16">
        <v>44729535.659999996</v>
      </c>
      <c r="G241" s="14">
        <v>3.04</v>
      </c>
      <c r="H241" s="14">
        <v>93.8</v>
      </c>
      <c r="I241" s="14">
        <v>38.79</v>
      </c>
      <c r="J241" s="14">
        <v>253.73</v>
      </c>
      <c r="K241" s="14">
        <v>45.63</v>
      </c>
      <c r="L241" s="17" t="s">
        <v>17</v>
      </c>
    </row>
    <row r="242" spans="1:12" x14ac:dyDescent="0.35">
      <c r="A242" s="13">
        <v>2023</v>
      </c>
      <c r="B242" s="14" t="s">
        <v>12</v>
      </c>
      <c r="C242" s="14" t="s">
        <v>13</v>
      </c>
      <c r="D242" s="14" t="s">
        <v>14</v>
      </c>
      <c r="E242" s="15">
        <v>40947</v>
      </c>
      <c r="F242" s="16">
        <v>29431350.050000001</v>
      </c>
      <c r="G242" s="14">
        <v>2.29</v>
      </c>
      <c r="H242" s="14">
        <v>31.64</v>
      </c>
      <c r="I242" s="14">
        <v>20.82</v>
      </c>
      <c r="J242" s="14">
        <v>272.01</v>
      </c>
      <c r="K242" s="14">
        <v>80.790000000000006</v>
      </c>
      <c r="L242" s="17" t="s">
        <v>27</v>
      </c>
    </row>
    <row r="243" spans="1:12" x14ac:dyDescent="0.35">
      <c r="A243" s="8">
        <v>2023</v>
      </c>
      <c r="B243" s="9" t="s">
        <v>12</v>
      </c>
      <c r="C243" s="9" t="s">
        <v>16</v>
      </c>
      <c r="D243" s="9" t="s">
        <v>14</v>
      </c>
      <c r="E243" s="10">
        <v>14664</v>
      </c>
      <c r="F243" s="11">
        <v>15195950.99</v>
      </c>
      <c r="G243" s="9">
        <v>1.66</v>
      </c>
      <c r="H243" s="9">
        <v>62.66</v>
      </c>
      <c r="I243" s="9">
        <v>1.47</v>
      </c>
      <c r="J243" s="9">
        <v>171.98</v>
      </c>
      <c r="K243" s="9">
        <v>74.11</v>
      </c>
      <c r="L243" s="12" t="s">
        <v>21</v>
      </c>
    </row>
    <row r="244" spans="1:12" x14ac:dyDescent="0.35">
      <c r="A244" s="13">
        <v>2023</v>
      </c>
      <c r="B244" s="14" t="s">
        <v>12</v>
      </c>
      <c r="C244" s="14" t="s">
        <v>18</v>
      </c>
      <c r="D244" s="14" t="s">
        <v>14</v>
      </c>
      <c r="E244" s="15">
        <v>43817</v>
      </c>
      <c r="F244" s="16">
        <v>24176526.140000001</v>
      </c>
      <c r="G244" s="14">
        <v>2.4500000000000002</v>
      </c>
      <c r="H244" s="14">
        <v>48.62</v>
      </c>
      <c r="I244" s="14">
        <v>20.28</v>
      </c>
      <c r="J244" s="14">
        <v>175.27</v>
      </c>
      <c r="K244" s="14">
        <v>73.89</v>
      </c>
      <c r="L244" s="17" t="s">
        <v>27</v>
      </c>
    </row>
    <row r="245" spans="1:12" x14ac:dyDescent="0.35">
      <c r="A245" s="8">
        <v>2023</v>
      </c>
      <c r="B245" s="9" t="s">
        <v>12</v>
      </c>
      <c r="C245" s="9" t="s">
        <v>20</v>
      </c>
      <c r="D245" s="9" t="s">
        <v>14</v>
      </c>
      <c r="E245" s="10">
        <v>41459</v>
      </c>
      <c r="F245" s="11">
        <v>13687954.880000001</v>
      </c>
      <c r="G245" s="9">
        <v>-0.11</v>
      </c>
      <c r="H245" s="9">
        <v>62.18</v>
      </c>
      <c r="I245" s="9">
        <v>11.77</v>
      </c>
      <c r="J245" s="9">
        <v>287.5</v>
      </c>
      <c r="K245" s="9">
        <v>41.54</v>
      </c>
      <c r="L245" s="12" t="s">
        <v>17</v>
      </c>
    </row>
    <row r="246" spans="1:12" x14ac:dyDescent="0.35">
      <c r="A246" s="13">
        <v>2023</v>
      </c>
      <c r="B246" s="14" t="s">
        <v>12</v>
      </c>
      <c r="C246" s="14" t="s">
        <v>22</v>
      </c>
      <c r="D246" s="14" t="s">
        <v>14</v>
      </c>
      <c r="E246" s="15">
        <v>32918</v>
      </c>
      <c r="F246" s="16">
        <v>22481075.41</v>
      </c>
      <c r="G246" s="14">
        <v>1.86</v>
      </c>
      <c r="H246" s="14">
        <v>81.72</v>
      </c>
      <c r="I246" s="14">
        <v>33.4</v>
      </c>
      <c r="J246" s="14">
        <v>108.49</v>
      </c>
      <c r="K246" s="14">
        <v>65.459999999999994</v>
      </c>
      <c r="L246" s="17" t="s">
        <v>21</v>
      </c>
    </row>
    <row r="247" spans="1:12" x14ac:dyDescent="0.35">
      <c r="A247" s="8">
        <v>2023</v>
      </c>
      <c r="B247" s="9" t="s">
        <v>12</v>
      </c>
      <c r="C247" s="9" t="s">
        <v>23</v>
      </c>
      <c r="D247" s="9" t="s">
        <v>24</v>
      </c>
      <c r="E247" s="10">
        <v>42266</v>
      </c>
      <c r="F247" s="11">
        <v>25950100.260000002</v>
      </c>
      <c r="G247" s="9">
        <v>6.02</v>
      </c>
      <c r="H247" s="9">
        <v>55.39</v>
      </c>
      <c r="I247" s="9">
        <v>39.53</v>
      </c>
      <c r="J247" s="9">
        <v>262.25</v>
      </c>
      <c r="K247" s="9">
        <v>45.63</v>
      </c>
      <c r="L247" s="12" t="s">
        <v>15</v>
      </c>
    </row>
    <row r="248" spans="1:12" x14ac:dyDescent="0.35">
      <c r="A248" s="13">
        <v>2023</v>
      </c>
      <c r="B248" s="14" t="s">
        <v>12</v>
      </c>
      <c r="C248" s="14" t="s">
        <v>25</v>
      </c>
      <c r="D248" s="14" t="s">
        <v>24</v>
      </c>
      <c r="E248" s="15">
        <v>35503</v>
      </c>
      <c r="F248" s="16">
        <v>31844795.27</v>
      </c>
      <c r="G248" s="14">
        <v>3.87</v>
      </c>
      <c r="H248" s="14">
        <v>85.47</v>
      </c>
      <c r="I248" s="14">
        <v>48.17</v>
      </c>
      <c r="J248" s="14">
        <v>262.83999999999997</v>
      </c>
      <c r="K248" s="14">
        <v>68</v>
      </c>
      <c r="L248" s="17" t="s">
        <v>15</v>
      </c>
    </row>
    <row r="249" spans="1:12" x14ac:dyDescent="0.35">
      <c r="A249" s="8">
        <v>2023</v>
      </c>
      <c r="B249" s="9" t="s">
        <v>12</v>
      </c>
      <c r="C249" s="9" t="s">
        <v>26</v>
      </c>
      <c r="D249" s="9" t="s">
        <v>24</v>
      </c>
      <c r="E249" s="10">
        <v>47694</v>
      </c>
      <c r="F249" s="11">
        <v>18903891.32</v>
      </c>
      <c r="G249" s="9">
        <v>5.9</v>
      </c>
      <c r="H249" s="9">
        <v>62.48</v>
      </c>
      <c r="I249" s="9">
        <v>29.12</v>
      </c>
      <c r="J249" s="9">
        <v>227.77</v>
      </c>
      <c r="K249" s="9">
        <v>87.07</v>
      </c>
      <c r="L249" s="12" t="s">
        <v>27</v>
      </c>
    </row>
    <row r="250" spans="1:12" x14ac:dyDescent="0.35">
      <c r="A250" s="13">
        <v>2023</v>
      </c>
      <c r="B250" s="14" t="s">
        <v>12</v>
      </c>
      <c r="C250" s="14" t="s">
        <v>28</v>
      </c>
      <c r="D250" s="14" t="s">
        <v>24</v>
      </c>
      <c r="E250" s="15">
        <v>36500</v>
      </c>
      <c r="F250" s="16">
        <v>11340925.859999999</v>
      </c>
      <c r="G250" s="14">
        <v>2.86</v>
      </c>
      <c r="H250" s="14">
        <v>98.22</v>
      </c>
      <c r="I250" s="14">
        <v>46.72</v>
      </c>
      <c r="J250" s="14">
        <v>177.9</v>
      </c>
      <c r="K250" s="14">
        <v>65.83</v>
      </c>
      <c r="L250" s="17" t="s">
        <v>15</v>
      </c>
    </row>
    <row r="251" spans="1:12" x14ac:dyDescent="0.35">
      <c r="A251" s="8">
        <v>2023</v>
      </c>
      <c r="B251" s="9" t="s">
        <v>12</v>
      </c>
      <c r="C251" s="9" t="s">
        <v>29</v>
      </c>
      <c r="D251" s="9" t="s">
        <v>24</v>
      </c>
      <c r="E251" s="10">
        <v>31535</v>
      </c>
      <c r="F251" s="11">
        <v>75369161.280000001</v>
      </c>
      <c r="G251" s="9">
        <v>4.8499999999999996</v>
      </c>
      <c r="H251" s="9">
        <v>103.92</v>
      </c>
      <c r="I251" s="9">
        <v>6.42</v>
      </c>
      <c r="J251" s="9">
        <v>256.02999999999997</v>
      </c>
      <c r="K251" s="9">
        <v>54.7</v>
      </c>
      <c r="L251" s="12" t="s">
        <v>15</v>
      </c>
    </row>
    <row r="252" spans="1:12" x14ac:dyDescent="0.35">
      <c r="A252" s="13">
        <v>2023</v>
      </c>
      <c r="B252" s="14" t="s">
        <v>12</v>
      </c>
      <c r="C252" s="14" t="s">
        <v>30</v>
      </c>
      <c r="D252" s="14" t="s">
        <v>24</v>
      </c>
      <c r="E252" s="15">
        <v>25428</v>
      </c>
      <c r="F252" s="16">
        <v>41184238.579999998</v>
      </c>
      <c r="G252" s="14">
        <v>4.9000000000000004</v>
      </c>
      <c r="H252" s="14">
        <v>78.09</v>
      </c>
      <c r="I252" s="14">
        <v>24.18</v>
      </c>
      <c r="J252" s="14">
        <v>262.01</v>
      </c>
      <c r="K252" s="14">
        <v>54.8</v>
      </c>
      <c r="L252" s="17" t="s">
        <v>21</v>
      </c>
    </row>
    <row r="253" spans="1:12" x14ac:dyDescent="0.35">
      <c r="A253" s="8">
        <v>2023</v>
      </c>
      <c r="B253" s="9" t="s">
        <v>12</v>
      </c>
      <c r="C253" s="9" t="s">
        <v>31</v>
      </c>
      <c r="D253" s="9" t="s">
        <v>24</v>
      </c>
      <c r="E253" s="10">
        <v>58459</v>
      </c>
      <c r="F253" s="11">
        <v>6197608.4639999997</v>
      </c>
      <c r="G253" s="9">
        <v>5.29</v>
      </c>
      <c r="H253" s="9">
        <v>65.56</v>
      </c>
      <c r="I253" s="9">
        <v>52.82</v>
      </c>
      <c r="J253" s="9">
        <v>231.91</v>
      </c>
      <c r="K253" s="9">
        <v>69.150000000000006</v>
      </c>
      <c r="L253" s="12" t="s">
        <v>19</v>
      </c>
    </row>
    <row r="254" spans="1:12" x14ac:dyDescent="0.35">
      <c r="A254" s="13">
        <v>2023</v>
      </c>
      <c r="B254" s="14" t="s">
        <v>12</v>
      </c>
      <c r="C254" s="14" t="s">
        <v>32</v>
      </c>
      <c r="D254" s="14" t="s">
        <v>24</v>
      </c>
      <c r="E254" s="15">
        <v>39916</v>
      </c>
      <c r="F254" s="16">
        <v>30964782.02</v>
      </c>
      <c r="G254" s="14">
        <v>5.5299999999999896</v>
      </c>
      <c r="H254" s="14">
        <v>47.84</v>
      </c>
      <c r="I254" s="14">
        <v>15.23</v>
      </c>
      <c r="J254" s="14">
        <v>260.8</v>
      </c>
      <c r="K254" s="14">
        <v>82.88</v>
      </c>
      <c r="L254" s="17" t="s">
        <v>19</v>
      </c>
    </row>
    <row r="255" spans="1:12" x14ac:dyDescent="0.35">
      <c r="A255" s="8">
        <v>2023</v>
      </c>
      <c r="B255" s="9" t="s">
        <v>12</v>
      </c>
      <c r="C255" s="9" t="s">
        <v>33</v>
      </c>
      <c r="D255" s="9" t="s">
        <v>24</v>
      </c>
      <c r="E255" s="10">
        <v>56785</v>
      </c>
      <c r="F255" s="11">
        <v>37101918.729999997</v>
      </c>
      <c r="G255" s="9">
        <v>4.21</v>
      </c>
      <c r="H255" s="9">
        <v>67.62</v>
      </c>
      <c r="I255" s="9">
        <v>43.79</v>
      </c>
      <c r="J255" s="9">
        <v>240.21</v>
      </c>
      <c r="K255" s="9">
        <v>75.959999999999994</v>
      </c>
      <c r="L255" s="12" t="s">
        <v>15</v>
      </c>
    </row>
    <row r="256" spans="1:12" x14ac:dyDescent="0.35">
      <c r="A256" s="13">
        <v>2023</v>
      </c>
      <c r="B256" s="14" t="s">
        <v>12</v>
      </c>
      <c r="C256" s="14" t="s">
        <v>34</v>
      </c>
      <c r="D256" s="14" t="s">
        <v>24</v>
      </c>
      <c r="E256" s="15">
        <v>11658</v>
      </c>
      <c r="F256" s="16">
        <v>14130688.68</v>
      </c>
      <c r="G256" s="14">
        <v>4.8099999999999996</v>
      </c>
      <c r="H256" s="14">
        <v>64.150000000000006</v>
      </c>
      <c r="I256" s="14">
        <v>50.51</v>
      </c>
      <c r="J256" s="14">
        <v>117.92</v>
      </c>
      <c r="K256" s="14">
        <v>62.56</v>
      </c>
      <c r="L256" s="17" t="s">
        <v>27</v>
      </c>
    </row>
    <row r="257" spans="1:12" x14ac:dyDescent="0.35">
      <c r="A257" s="8">
        <v>2023</v>
      </c>
      <c r="B257" s="9" t="s">
        <v>35</v>
      </c>
      <c r="C257" s="9" t="s">
        <v>13</v>
      </c>
      <c r="D257" s="9" t="s">
        <v>14</v>
      </c>
      <c r="E257" s="10">
        <v>28445</v>
      </c>
      <c r="F257" s="11">
        <v>23846107.199999999</v>
      </c>
      <c r="G257" s="9">
        <v>3.99</v>
      </c>
      <c r="H257" s="9">
        <v>46.8</v>
      </c>
      <c r="I257" s="9">
        <v>37.909999999999997</v>
      </c>
      <c r="J257" s="9">
        <v>175.6</v>
      </c>
      <c r="K257" s="9">
        <v>66.599999999999994</v>
      </c>
      <c r="L257" s="12" t="s">
        <v>27</v>
      </c>
    </row>
    <row r="258" spans="1:12" x14ac:dyDescent="0.35">
      <c r="A258" s="13">
        <v>2023</v>
      </c>
      <c r="B258" s="14" t="s">
        <v>35</v>
      </c>
      <c r="C258" s="14" t="s">
        <v>16</v>
      </c>
      <c r="D258" s="14" t="s">
        <v>14</v>
      </c>
      <c r="E258" s="15">
        <v>12074</v>
      </c>
      <c r="F258" s="16">
        <v>10953765.789999999</v>
      </c>
      <c r="G258" s="14">
        <v>1.67</v>
      </c>
      <c r="H258" s="14">
        <v>65.23</v>
      </c>
      <c r="I258" s="14">
        <v>47.14</v>
      </c>
      <c r="J258" s="14">
        <v>106.03</v>
      </c>
      <c r="K258" s="14">
        <v>70.52</v>
      </c>
      <c r="L258" s="17" t="s">
        <v>27</v>
      </c>
    </row>
    <row r="259" spans="1:12" x14ac:dyDescent="0.35">
      <c r="A259" s="8">
        <v>2023</v>
      </c>
      <c r="B259" s="9" t="s">
        <v>35</v>
      </c>
      <c r="C259" s="9" t="s">
        <v>18</v>
      </c>
      <c r="D259" s="9" t="s">
        <v>14</v>
      </c>
      <c r="E259" s="10">
        <v>24787</v>
      </c>
      <c r="F259" s="11">
        <v>11158722.59</v>
      </c>
      <c r="G259" s="9">
        <v>2.93</v>
      </c>
      <c r="H259" s="9">
        <v>73.150000000000006</v>
      </c>
      <c r="I259" s="9">
        <v>29.28</v>
      </c>
      <c r="J259" s="9">
        <v>138</v>
      </c>
      <c r="K259" s="9">
        <v>68.94</v>
      </c>
      <c r="L259" s="12" t="s">
        <v>27</v>
      </c>
    </row>
    <row r="260" spans="1:12" x14ac:dyDescent="0.35">
      <c r="A260" s="13">
        <v>2023</v>
      </c>
      <c r="B260" s="14" t="s">
        <v>35</v>
      </c>
      <c r="C260" s="14" t="s">
        <v>20</v>
      </c>
      <c r="D260" s="14" t="s">
        <v>14</v>
      </c>
      <c r="E260" s="15">
        <v>40418</v>
      </c>
      <c r="F260" s="16">
        <v>32030342.59</v>
      </c>
      <c r="G260" s="14">
        <v>1.77999999999999</v>
      </c>
      <c r="H260" s="14">
        <v>61.9</v>
      </c>
      <c r="I260" s="14">
        <v>24.69</v>
      </c>
      <c r="J260" s="14">
        <v>160.97999999999999</v>
      </c>
      <c r="K260" s="14">
        <v>45.26</v>
      </c>
      <c r="L260" s="17" t="s">
        <v>21</v>
      </c>
    </row>
    <row r="261" spans="1:12" x14ac:dyDescent="0.35">
      <c r="A261" s="8">
        <v>2023</v>
      </c>
      <c r="B261" s="9" t="s">
        <v>35</v>
      </c>
      <c r="C261" s="9" t="s">
        <v>22</v>
      </c>
      <c r="D261" s="9" t="s">
        <v>14</v>
      </c>
      <c r="E261" s="10">
        <v>34655</v>
      </c>
      <c r="F261" s="11">
        <v>5500615.1399999997</v>
      </c>
      <c r="G261" s="9">
        <v>0</v>
      </c>
      <c r="H261" s="9">
        <v>36.06</v>
      </c>
      <c r="I261" s="9">
        <v>47.06</v>
      </c>
      <c r="J261" s="9">
        <v>75.69</v>
      </c>
      <c r="K261" s="9">
        <v>57.66</v>
      </c>
      <c r="L261" s="12" t="s">
        <v>19</v>
      </c>
    </row>
    <row r="262" spans="1:12" x14ac:dyDescent="0.35">
      <c r="A262" s="13">
        <v>2023</v>
      </c>
      <c r="B262" s="14" t="s">
        <v>35</v>
      </c>
      <c r="C262" s="14" t="s">
        <v>23</v>
      </c>
      <c r="D262" s="14" t="s">
        <v>24</v>
      </c>
      <c r="E262" s="15">
        <v>18720</v>
      </c>
      <c r="F262" s="16">
        <v>45175723.359999999</v>
      </c>
      <c r="G262" s="14">
        <v>6.09</v>
      </c>
      <c r="H262" s="14">
        <v>77.17</v>
      </c>
      <c r="I262" s="14">
        <v>13.16</v>
      </c>
      <c r="J262" s="14">
        <v>95.71</v>
      </c>
      <c r="K262" s="14">
        <v>54.69</v>
      </c>
      <c r="L262" s="17" t="s">
        <v>17</v>
      </c>
    </row>
    <row r="263" spans="1:12" x14ac:dyDescent="0.35">
      <c r="A263" s="8">
        <v>2023</v>
      </c>
      <c r="B263" s="9" t="s">
        <v>35</v>
      </c>
      <c r="C263" s="9" t="s">
        <v>25</v>
      </c>
      <c r="D263" s="9" t="s">
        <v>24</v>
      </c>
      <c r="E263" s="10">
        <v>7111</v>
      </c>
      <c r="F263" s="11">
        <v>38171299.740000002</v>
      </c>
      <c r="G263" s="9">
        <v>4.9000000000000004</v>
      </c>
      <c r="H263" s="9">
        <v>94.2</v>
      </c>
      <c r="I263" s="9">
        <v>53.26</v>
      </c>
      <c r="J263" s="9">
        <v>269.75</v>
      </c>
      <c r="K263" s="9">
        <v>52.92</v>
      </c>
      <c r="L263" s="12" t="s">
        <v>15</v>
      </c>
    </row>
    <row r="264" spans="1:12" x14ac:dyDescent="0.35">
      <c r="A264" s="13">
        <v>2023</v>
      </c>
      <c r="B264" s="14" t="s">
        <v>35</v>
      </c>
      <c r="C264" s="14" t="s">
        <v>26</v>
      </c>
      <c r="D264" s="14" t="s">
        <v>24</v>
      </c>
      <c r="E264" s="15">
        <v>22044</v>
      </c>
      <c r="F264" s="16">
        <v>31012290.23</v>
      </c>
      <c r="G264" s="14">
        <v>5.12</v>
      </c>
      <c r="H264" s="14">
        <v>79.73</v>
      </c>
      <c r="I264" s="14">
        <v>37.979999999999997</v>
      </c>
      <c r="J264" s="14">
        <v>63.5</v>
      </c>
      <c r="K264" s="14">
        <v>81.510000000000005</v>
      </c>
      <c r="L264" s="17" t="s">
        <v>17</v>
      </c>
    </row>
    <row r="265" spans="1:12" x14ac:dyDescent="0.35">
      <c r="A265" s="8">
        <v>2023</v>
      </c>
      <c r="B265" s="9" t="s">
        <v>35</v>
      </c>
      <c r="C265" s="9" t="s">
        <v>28</v>
      </c>
      <c r="D265" s="9" t="s">
        <v>24</v>
      </c>
      <c r="E265" s="10">
        <v>14004</v>
      </c>
      <c r="F265" s="11">
        <v>7989841.6199999899</v>
      </c>
      <c r="G265" s="9">
        <v>3.37</v>
      </c>
      <c r="H265" s="9">
        <v>86.05</v>
      </c>
      <c r="I265" s="9">
        <v>18.510000000000002</v>
      </c>
      <c r="J265" s="9">
        <v>249.43</v>
      </c>
      <c r="K265" s="9">
        <v>45.62</v>
      </c>
      <c r="L265" s="12" t="s">
        <v>21</v>
      </c>
    </row>
    <row r="266" spans="1:12" x14ac:dyDescent="0.35">
      <c r="A266" s="13">
        <v>2023</v>
      </c>
      <c r="B266" s="14" t="s">
        <v>35</v>
      </c>
      <c r="C266" s="14" t="s">
        <v>29</v>
      </c>
      <c r="D266" s="14" t="s">
        <v>24</v>
      </c>
      <c r="E266" s="15">
        <v>55851</v>
      </c>
      <c r="F266" s="16">
        <v>19401460.379999999</v>
      </c>
      <c r="G266" s="14">
        <v>5.04</v>
      </c>
      <c r="H266" s="14">
        <v>98.87</v>
      </c>
      <c r="I266" s="14">
        <v>14.29</v>
      </c>
      <c r="J266" s="14">
        <v>187.41</v>
      </c>
      <c r="K266" s="14">
        <v>45.43</v>
      </c>
      <c r="L266" s="17" t="s">
        <v>17</v>
      </c>
    </row>
    <row r="267" spans="1:12" x14ac:dyDescent="0.35">
      <c r="A267" s="8">
        <v>2023</v>
      </c>
      <c r="B267" s="9" t="s">
        <v>35</v>
      </c>
      <c r="C267" s="9" t="s">
        <v>30</v>
      </c>
      <c r="D267" s="9" t="s">
        <v>24</v>
      </c>
      <c r="E267" s="10">
        <v>43275</v>
      </c>
      <c r="F267" s="11">
        <v>7555516.4280000003</v>
      </c>
      <c r="G267" s="9">
        <v>4.18</v>
      </c>
      <c r="H267" s="9">
        <v>44.77</v>
      </c>
      <c r="I267" s="9">
        <v>25.77</v>
      </c>
      <c r="J267" s="9">
        <v>214.9</v>
      </c>
      <c r="K267" s="9">
        <v>48.3</v>
      </c>
      <c r="L267" s="12" t="s">
        <v>17</v>
      </c>
    </row>
    <row r="268" spans="1:12" x14ac:dyDescent="0.35">
      <c r="A268" s="13">
        <v>2023</v>
      </c>
      <c r="B268" s="14" t="s">
        <v>35</v>
      </c>
      <c r="C268" s="14" t="s">
        <v>31</v>
      </c>
      <c r="D268" s="14" t="s">
        <v>24</v>
      </c>
      <c r="E268" s="15">
        <v>14970</v>
      </c>
      <c r="F268" s="16">
        <v>18515548.91</v>
      </c>
      <c r="G268" s="14">
        <v>6.32</v>
      </c>
      <c r="H268" s="14">
        <v>52.48</v>
      </c>
      <c r="I268" s="14">
        <v>25</v>
      </c>
      <c r="J268" s="14">
        <v>57.27</v>
      </c>
      <c r="K268" s="14">
        <v>51.12</v>
      </c>
      <c r="L268" s="17" t="s">
        <v>17</v>
      </c>
    </row>
    <row r="269" spans="1:12" x14ac:dyDescent="0.35">
      <c r="A269" s="8">
        <v>2023</v>
      </c>
      <c r="B269" s="9" t="s">
        <v>35</v>
      </c>
      <c r="C269" s="9" t="s">
        <v>32</v>
      </c>
      <c r="D269" s="9" t="s">
        <v>24</v>
      </c>
      <c r="E269" s="10">
        <v>37850</v>
      </c>
      <c r="F269" s="11">
        <v>11674638.720000001</v>
      </c>
      <c r="G269" s="9">
        <v>6.51</v>
      </c>
      <c r="H269" s="9">
        <v>65.650000000000006</v>
      </c>
      <c r="I269" s="9">
        <v>35.799999999999997</v>
      </c>
      <c r="J269" s="9">
        <v>210.17</v>
      </c>
      <c r="K269" s="9">
        <v>70.25</v>
      </c>
      <c r="L269" s="12" t="s">
        <v>19</v>
      </c>
    </row>
    <row r="270" spans="1:12" x14ac:dyDescent="0.35">
      <c r="A270" s="13">
        <v>2023</v>
      </c>
      <c r="B270" s="14" t="s">
        <v>35</v>
      </c>
      <c r="C270" s="14" t="s">
        <v>33</v>
      </c>
      <c r="D270" s="14" t="s">
        <v>24</v>
      </c>
      <c r="E270" s="15">
        <v>12105</v>
      </c>
      <c r="F270" s="16">
        <v>51838068.950000003</v>
      </c>
      <c r="G270" s="14">
        <v>5.2799999999999896</v>
      </c>
      <c r="H270" s="14">
        <v>77.760000000000005</v>
      </c>
      <c r="I270" s="14">
        <v>52.15</v>
      </c>
      <c r="J270" s="14">
        <v>51.12</v>
      </c>
      <c r="K270" s="14">
        <v>86.82</v>
      </c>
      <c r="L270" s="17" t="s">
        <v>17</v>
      </c>
    </row>
    <row r="271" spans="1:12" x14ac:dyDescent="0.35">
      <c r="A271" s="8">
        <v>2023</v>
      </c>
      <c r="B271" s="9" t="s">
        <v>35</v>
      </c>
      <c r="C271" s="9" t="s">
        <v>34</v>
      </c>
      <c r="D271" s="9" t="s">
        <v>24</v>
      </c>
      <c r="E271" s="10">
        <v>43400</v>
      </c>
      <c r="F271" s="11">
        <v>25193544.600000001</v>
      </c>
      <c r="G271" s="9">
        <v>2.97</v>
      </c>
      <c r="H271" s="9">
        <v>86.63</v>
      </c>
      <c r="I271" s="9">
        <v>52.81</v>
      </c>
      <c r="J271" s="9">
        <v>178.32</v>
      </c>
      <c r="K271" s="9">
        <v>45.09</v>
      </c>
      <c r="L271" s="12" t="s">
        <v>17</v>
      </c>
    </row>
    <row r="272" spans="1:12" x14ac:dyDescent="0.35">
      <c r="A272" s="13">
        <v>2023</v>
      </c>
      <c r="B272" s="14" t="s">
        <v>36</v>
      </c>
      <c r="C272" s="14" t="s">
        <v>13</v>
      </c>
      <c r="D272" s="14" t="s">
        <v>14</v>
      </c>
      <c r="E272" s="15">
        <v>45735</v>
      </c>
      <c r="F272" s="16">
        <v>2987436.3840000001</v>
      </c>
      <c r="G272" s="14">
        <v>0.26</v>
      </c>
      <c r="H272" s="14">
        <v>50.76</v>
      </c>
      <c r="I272" s="14">
        <v>9.67</v>
      </c>
      <c r="J272" s="14">
        <v>280.41000000000003</v>
      </c>
      <c r="K272" s="14">
        <v>64.86</v>
      </c>
      <c r="L272" s="17" t="s">
        <v>15</v>
      </c>
    </row>
    <row r="273" spans="1:12" x14ac:dyDescent="0.35">
      <c r="A273" s="8">
        <v>2023</v>
      </c>
      <c r="B273" s="9" t="s">
        <v>36</v>
      </c>
      <c r="C273" s="9" t="s">
        <v>16</v>
      </c>
      <c r="D273" s="9" t="s">
        <v>14</v>
      </c>
      <c r="E273" s="10">
        <v>14799</v>
      </c>
      <c r="F273" s="11">
        <v>4874859.7379999999</v>
      </c>
      <c r="G273" s="9">
        <v>3.39</v>
      </c>
      <c r="H273" s="9">
        <v>49.36</v>
      </c>
      <c r="I273" s="9">
        <v>15.579999999999901</v>
      </c>
      <c r="J273" s="9">
        <v>220.38</v>
      </c>
      <c r="K273" s="9">
        <v>51.94</v>
      </c>
      <c r="L273" s="12" t="s">
        <v>19</v>
      </c>
    </row>
    <row r="274" spans="1:12" x14ac:dyDescent="0.35">
      <c r="A274" s="13">
        <v>2023</v>
      </c>
      <c r="B274" s="14" t="s">
        <v>36</v>
      </c>
      <c r="C274" s="14" t="s">
        <v>18</v>
      </c>
      <c r="D274" s="14" t="s">
        <v>14</v>
      </c>
      <c r="E274" s="15">
        <v>42940</v>
      </c>
      <c r="F274" s="16">
        <v>4424999.4989999998</v>
      </c>
      <c r="G274" s="14">
        <v>0.59</v>
      </c>
      <c r="H274" s="14">
        <v>87.76</v>
      </c>
      <c r="I274" s="14">
        <v>46.41</v>
      </c>
      <c r="J274" s="14">
        <v>87.57</v>
      </c>
      <c r="K274" s="14">
        <v>83.22</v>
      </c>
      <c r="L274" s="17" t="s">
        <v>27</v>
      </c>
    </row>
    <row r="275" spans="1:12" x14ac:dyDescent="0.35">
      <c r="A275" s="8">
        <v>2023</v>
      </c>
      <c r="B275" s="9" t="s">
        <v>36</v>
      </c>
      <c r="C275" s="9" t="s">
        <v>20</v>
      </c>
      <c r="D275" s="9" t="s">
        <v>14</v>
      </c>
      <c r="E275" s="10">
        <v>46321</v>
      </c>
      <c r="F275" s="11">
        <v>12172734.050000001</v>
      </c>
      <c r="G275" s="9">
        <v>2.5</v>
      </c>
      <c r="H275" s="9">
        <v>44.49</v>
      </c>
      <c r="I275" s="9">
        <v>12.73</v>
      </c>
      <c r="J275" s="9">
        <v>238.14</v>
      </c>
      <c r="K275" s="9">
        <v>47.82</v>
      </c>
      <c r="L275" s="12" t="s">
        <v>27</v>
      </c>
    </row>
    <row r="276" spans="1:12" x14ac:dyDescent="0.35">
      <c r="A276" s="13">
        <v>2023</v>
      </c>
      <c r="B276" s="14" t="s">
        <v>36</v>
      </c>
      <c r="C276" s="14" t="s">
        <v>22</v>
      </c>
      <c r="D276" s="14" t="s">
        <v>14</v>
      </c>
      <c r="E276" s="15">
        <v>22101</v>
      </c>
      <c r="F276" s="16">
        <v>45898246.390000001</v>
      </c>
      <c r="G276" s="14">
        <v>0.35</v>
      </c>
      <c r="H276" s="14">
        <v>38.79</v>
      </c>
      <c r="I276" s="14">
        <v>27.92</v>
      </c>
      <c r="J276" s="14">
        <v>77.87</v>
      </c>
      <c r="K276" s="14">
        <v>49.98</v>
      </c>
      <c r="L276" s="17" t="s">
        <v>27</v>
      </c>
    </row>
    <row r="277" spans="1:12" x14ac:dyDescent="0.35">
      <c r="A277" s="8">
        <v>2023</v>
      </c>
      <c r="B277" s="9" t="s">
        <v>36</v>
      </c>
      <c r="C277" s="9" t="s">
        <v>23</v>
      </c>
      <c r="D277" s="9" t="s">
        <v>24</v>
      </c>
      <c r="E277" s="10">
        <v>18578</v>
      </c>
      <c r="F277" s="11">
        <v>35842354.880000003</v>
      </c>
      <c r="G277" s="9">
        <v>5.27</v>
      </c>
      <c r="H277" s="9">
        <v>41.64</v>
      </c>
      <c r="I277" s="9">
        <v>13.95</v>
      </c>
      <c r="J277" s="9">
        <v>192.01</v>
      </c>
      <c r="K277" s="9">
        <v>73.64</v>
      </c>
      <c r="L277" s="12" t="s">
        <v>21</v>
      </c>
    </row>
    <row r="278" spans="1:12" x14ac:dyDescent="0.35">
      <c r="A278" s="13">
        <v>2023</v>
      </c>
      <c r="B278" s="14" t="s">
        <v>36</v>
      </c>
      <c r="C278" s="14" t="s">
        <v>25</v>
      </c>
      <c r="D278" s="14" t="s">
        <v>24</v>
      </c>
      <c r="E278" s="15">
        <v>63804</v>
      </c>
      <c r="F278" s="16">
        <v>26099538.280000001</v>
      </c>
      <c r="G278" s="14">
        <v>2.5299999999999998</v>
      </c>
      <c r="H278" s="14">
        <v>49.54</v>
      </c>
      <c r="I278" s="14">
        <v>36.479999999999997</v>
      </c>
      <c r="J278" s="14">
        <v>168.21</v>
      </c>
      <c r="K278" s="14">
        <v>88.53</v>
      </c>
      <c r="L278" s="17" t="s">
        <v>21</v>
      </c>
    </row>
    <row r="279" spans="1:12" x14ac:dyDescent="0.35">
      <c r="A279" s="8">
        <v>2023</v>
      </c>
      <c r="B279" s="9" t="s">
        <v>36</v>
      </c>
      <c r="C279" s="9" t="s">
        <v>26</v>
      </c>
      <c r="D279" s="9" t="s">
        <v>24</v>
      </c>
      <c r="E279" s="10">
        <v>60353</v>
      </c>
      <c r="F279" s="11">
        <v>10771600.5239999</v>
      </c>
      <c r="G279" s="9">
        <v>3.43</v>
      </c>
      <c r="H279" s="9">
        <v>67.709999999999994</v>
      </c>
      <c r="I279" s="9">
        <v>35.68</v>
      </c>
      <c r="J279" s="9">
        <v>79.34</v>
      </c>
      <c r="K279" s="9">
        <v>58.28</v>
      </c>
      <c r="L279" s="12" t="s">
        <v>21</v>
      </c>
    </row>
    <row r="280" spans="1:12" x14ac:dyDescent="0.35">
      <c r="A280" s="13">
        <v>2023</v>
      </c>
      <c r="B280" s="14" t="s">
        <v>36</v>
      </c>
      <c r="C280" s="14" t="s">
        <v>28</v>
      </c>
      <c r="D280" s="14" t="s">
        <v>24</v>
      </c>
      <c r="E280" s="15">
        <v>56014</v>
      </c>
      <c r="F280" s="16">
        <v>38203293.829999998</v>
      </c>
      <c r="G280" s="14">
        <v>5.04</v>
      </c>
      <c r="H280" s="14">
        <v>92.55</v>
      </c>
      <c r="I280" s="14">
        <v>22.12</v>
      </c>
      <c r="J280" s="14">
        <v>50.37</v>
      </c>
      <c r="K280" s="14">
        <v>45.65</v>
      </c>
      <c r="L280" s="17" t="s">
        <v>15</v>
      </c>
    </row>
    <row r="281" spans="1:12" x14ac:dyDescent="0.35">
      <c r="A281" s="8">
        <v>2023</v>
      </c>
      <c r="B281" s="9" t="s">
        <v>36</v>
      </c>
      <c r="C281" s="9" t="s">
        <v>29</v>
      </c>
      <c r="D281" s="9" t="s">
        <v>24</v>
      </c>
      <c r="E281" s="10">
        <v>30009</v>
      </c>
      <c r="F281" s="11">
        <v>27935761.68</v>
      </c>
      <c r="G281" s="9">
        <v>5.49</v>
      </c>
      <c r="H281" s="9">
        <v>48.11</v>
      </c>
      <c r="I281" s="9">
        <v>22.61</v>
      </c>
      <c r="J281" s="9">
        <v>157</v>
      </c>
      <c r="K281" s="9">
        <v>94.16</v>
      </c>
      <c r="L281" s="12" t="s">
        <v>27</v>
      </c>
    </row>
    <row r="282" spans="1:12" x14ac:dyDescent="0.35">
      <c r="A282" s="13">
        <v>2023</v>
      </c>
      <c r="B282" s="14" t="s">
        <v>36</v>
      </c>
      <c r="C282" s="14" t="s">
        <v>30</v>
      </c>
      <c r="D282" s="14" t="s">
        <v>24</v>
      </c>
      <c r="E282" s="15">
        <v>11176</v>
      </c>
      <c r="F282" s="16">
        <v>41387013.969999999</v>
      </c>
      <c r="G282" s="14">
        <v>6.52</v>
      </c>
      <c r="H282" s="14">
        <v>59.53</v>
      </c>
      <c r="I282" s="14">
        <v>7.3599999999999897</v>
      </c>
      <c r="J282" s="14">
        <v>246.52</v>
      </c>
      <c r="K282" s="14">
        <v>46.97</v>
      </c>
      <c r="L282" s="17" t="s">
        <v>21</v>
      </c>
    </row>
    <row r="283" spans="1:12" x14ac:dyDescent="0.35">
      <c r="A283" s="8">
        <v>2023</v>
      </c>
      <c r="B283" s="9" t="s">
        <v>36</v>
      </c>
      <c r="C283" s="9" t="s">
        <v>31</v>
      </c>
      <c r="D283" s="9" t="s">
        <v>24</v>
      </c>
      <c r="E283" s="10">
        <v>35816</v>
      </c>
      <c r="F283" s="11">
        <v>11652906.140000001</v>
      </c>
      <c r="G283" s="9">
        <v>6.83</v>
      </c>
      <c r="H283" s="9">
        <v>52.51</v>
      </c>
      <c r="I283" s="9">
        <v>23.96</v>
      </c>
      <c r="J283" s="9">
        <v>85.44</v>
      </c>
      <c r="K283" s="9">
        <v>54.57</v>
      </c>
      <c r="L283" s="12" t="s">
        <v>21</v>
      </c>
    </row>
    <row r="284" spans="1:12" x14ac:dyDescent="0.35">
      <c r="A284" s="13">
        <v>2023</v>
      </c>
      <c r="B284" s="14" t="s">
        <v>36</v>
      </c>
      <c r="C284" s="14" t="s">
        <v>32</v>
      </c>
      <c r="D284" s="14" t="s">
        <v>24</v>
      </c>
      <c r="E284" s="15">
        <v>51399</v>
      </c>
      <c r="F284" s="16">
        <v>42332669.411999904</v>
      </c>
      <c r="G284" s="14">
        <v>4.71</v>
      </c>
      <c r="H284" s="14">
        <v>77.37</v>
      </c>
      <c r="I284" s="14">
        <v>33.159999999999997</v>
      </c>
      <c r="J284" s="14">
        <v>212.73</v>
      </c>
      <c r="K284" s="14">
        <v>87.94</v>
      </c>
      <c r="L284" s="17" t="s">
        <v>17</v>
      </c>
    </row>
    <row r="285" spans="1:12" x14ac:dyDescent="0.35">
      <c r="A285" s="8">
        <v>2023</v>
      </c>
      <c r="B285" s="9" t="s">
        <v>36</v>
      </c>
      <c r="C285" s="9" t="s">
        <v>33</v>
      </c>
      <c r="D285" s="9" t="s">
        <v>24</v>
      </c>
      <c r="E285" s="10">
        <v>25724</v>
      </c>
      <c r="F285" s="11">
        <v>4967036.6160000004</v>
      </c>
      <c r="G285" s="9">
        <v>2.8</v>
      </c>
      <c r="H285" s="9">
        <v>102.38</v>
      </c>
      <c r="I285" s="9">
        <v>45.67</v>
      </c>
      <c r="J285" s="9">
        <v>52.28</v>
      </c>
      <c r="K285" s="9">
        <v>75.87</v>
      </c>
      <c r="L285" s="12" t="s">
        <v>15</v>
      </c>
    </row>
    <row r="286" spans="1:12" x14ac:dyDescent="0.35">
      <c r="A286" s="13">
        <v>2023</v>
      </c>
      <c r="B286" s="14" t="s">
        <v>36</v>
      </c>
      <c r="C286" s="14" t="s">
        <v>34</v>
      </c>
      <c r="D286" s="14" t="s">
        <v>24</v>
      </c>
      <c r="E286" s="15">
        <v>19229</v>
      </c>
      <c r="F286" s="16">
        <v>37535867.520000003</v>
      </c>
      <c r="G286" s="14">
        <v>6.95</v>
      </c>
      <c r="H286" s="14">
        <v>71.89</v>
      </c>
      <c r="I286" s="14">
        <v>44.75</v>
      </c>
      <c r="J286" s="14">
        <v>122.87</v>
      </c>
      <c r="K286" s="14">
        <v>91.72</v>
      </c>
      <c r="L286" s="17" t="s">
        <v>17</v>
      </c>
    </row>
    <row r="287" spans="1:12" x14ac:dyDescent="0.35">
      <c r="A287" s="8">
        <v>2023</v>
      </c>
      <c r="B287" s="9" t="s">
        <v>37</v>
      </c>
      <c r="C287" s="9" t="s">
        <v>13</v>
      </c>
      <c r="D287" s="9" t="s">
        <v>14</v>
      </c>
      <c r="E287" s="10">
        <v>40560</v>
      </c>
      <c r="F287" s="11">
        <v>10240842.15</v>
      </c>
      <c r="G287" s="9">
        <v>1.06</v>
      </c>
      <c r="H287" s="9">
        <v>40.090000000000003</v>
      </c>
      <c r="I287" s="9">
        <v>30.86</v>
      </c>
      <c r="J287" s="9">
        <v>154.81</v>
      </c>
      <c r="K287" s="9">
        <v>68.239999999999995</v>
      </c>
      <c r="L287" s="12" t="s">
        <v>21</v>
      </c>
    </row>
    <row r="288" spans="1:12" x14ac:dyDescent="0.35">
      <c r="A288" s="13">
        <v>2023</v>
      </c>
      <c r="B288" s="14" t="s">
        <v>37</v>
      </c>
      <c r="C288" s="14" t="s">
        <v>16</v>
      </c>
      <c r="D288" s="14" t="s">
        <v>14</v>
      </c>
      <c r="E288" s="15">
        <v>35697</v>
      </c>
      <c r="F288" s="16">
        <v>19462564.98</v>
      </c>
      <c r="G288" s="14">
        <v>2.4900000000000002</v>
      </c>
      <c r="H288" s="14">
        <v>36.549999999999997</v>
      </c>
      <c r="I288" s="14">
        <v>36.44</v>
      </c>
      <c r="J288" s="14">
        <v>236.39</v>
      </c>
      <c r="K288" s="14">
        <v>47.11</v>
      </c>
      <c r="L288" s="17" t="s">
        <v>21</v>
      </c>
    </row>
    <row r="289" spans="1:12" x14ac:dyDescent="0.35">
      <c r="A289" s="8">
        <v>2023</v>
      </c>
      <c r="B289" s="9" t="s">
        <v>37</v>
      </c>
      <c r="C289" s="9" t="s">
        <v>18</v>
      </c>
      <c r="D289" s="9" t="s">
        <v>14</v>
      </c>
      <c r="E289" s="10">
        <v>47421</v>
      </c>
      <c r="F289" s="11">
        <v>4828393.0619999999</v>
      </c>
      <c r="G289" s="9">
        <v>0.34</v>
      </c>
      <c r="H289" s="9">
        <v>69.319999999999993</v>
      </c>
      <c r="I289" s="9">
        <v>14.16</v>
      </c>
      <c r="J289" s="9">
        <v>174.21</v>
      </c>
      <c r="K289" s="9">
        <v>73.78</v>
      </c>
      <c r="L289" s="12" t="s">
        <v>17</v>
      </c>
    </row>
    <row r="290" spans="1:12" x14ac:dyDescent="0.35">
      <c r="A290" s="13">
        <v>2023</v>
      </c>
      <c r="B290" s="14" t="s">
        <v>37</v>
      </c>
      <c r="C290" s="14" t="s">
        <v>20</v>
      </c>
      <c r="D290" s="14" t="s">
        <v>14</v>
      </c>
      <c r="E290" s="15">
        <v>36328</v>
      </c>
      <c r="F290" s="16">
        <v>33957658.93</v>
      </c>
      <c r="G290" s="14">
        <v>1.68</v>
      </c>
      <c r="H290" s="14">
        <v>25.34</v>
      </c>
      <c r="I290" s="14">
        <v>10.88</v>
      </c>
      <c r="J290" s="14">
        <v>248.93</v>
      </c>
      <c r="K290" s="14">
        <v>80.819999999999993</v>
      </c>
      <c r="L290" s="17" t="s">
        <v>19</v>
      </c>
    </row>
    <row r="291" spans="1:12" x14ac:dyDescent="0.35">
      <c r="A291" s="8">
        <v>2023</v>
      </c>
      <c r="B291" s="9" t="s">
        <v>37</v>
      </c>
      <c r="C291" s="9" t="s">
        <v>22</v>
      </c>
      <c r="D291" s="9" t="s">
        <v>14</v>
      </c>
      <c r="E291" s="10">
        <v>7177</v>
      </c>
      <c r="F291" s="11">
        <v>12756979.869999999</v>
      </c>
      <c r="G291" s="9">
        <v>3.84</v>
      </c>
      <c r="H291" s="9">
        <v>83.21</v>
      </c>
      <c r="I291" s="9">
        <v>46.58</v>
      </c>
      <c r="J291" s="9">
        <v>244.75</v>
      </c>
      <c r="K291" s="9">
        <v>58.59</v>
      </c>
      <c r="L291" s="12" t="s">
        <v>17</v>
      </c>
    </row>
    <row r="292" spans="1:12" x14ac:dyDescent="0.35">
      <c r="A292" s="13">
        <v>2023</v>
      </c>
      <c r="B292" s="14" t="s">
        <v>37</v>
      </c>
      <c r="C292" s="14" t="s">
        <v>23</v>
      </c>
      <c r="D292" s="14" t="s">
        <v>24</v>
      </c>
      <c r="E292" s="15">
        <v>26543</v>
      </c>
      <c r="F292" s="16">
        <v>22616882.710000001</v>
      </c>
      <c r="G292" s="14">
        <v>6.92</v>
      </c>
      <c r="H292" s="14">
        <v>47.63</v>
      </c>
      <c r="I292" s="14">
        <v>35.93</v>
      </c>
      <c r="J292" s="14">
        <v>142.99</v>
      </c>
      <c r="K292" s="14">
        <v>65.489999999999995</v>
      </c>
      <c r="L292" s="17" t="s">
        <v>27</v>
      </c>
    </row>
    <row r="293" spans="1:12" x14ac:dyDescent="0.35">
      <c r="A293" s="8">
        <v>2023</v>
      </c>
      <c r="B293" s="9" t="s">
        <v>37</v>
      </c>
      <c r="C293" s="9" t="s">
        <v>25</v>
      </c>
      <c r="D293" s="9" t="s">
        <v>24</v>
      </c>
      <c r="E293" s="10">
        <v>56191</v>
      </c>
      <c r="F293" s="11">
        <v>12240588.060000001</v>
      </c>
      <c r="G293" s="9">
        <v>6.71</v>
      </c>
      <c r="H293" s="9">
        <v>72.16</v>
      </c>
      <c r="I293" s="9">
        <v>7.12</v>
      </c>
      <c r="J293" s="9">
        <v>152.26</v>
      </c>
      <c r="K293" s="9">
        <v>87.72</v>
      </c>
      <c r="L293" s="12" t="s">
        <v>15</v>
      </c>
    </row>
    <row r="294" spans="1:12" x14ac:dyDescent="0.35">
      <c r="A294" s="13">
        <v>2023</v>
      </c>
      <c r="B294" s="14" t="s">
        <v>37</v>
      </c>
      <c r="C294" s="14" t="s">
        <v>26</v>
      </c>
      <c r="D294" s="14" t="s">
        <v>24</v>
      </c>
      <c r="E294" s="15">
        <v>31159</v>
      </c>
      <c r="F294" s="16">
        <v>41780958.789999999</v>
      </c>
      <c r="G294" s="14">
        <v>4.5599999999999996</v>
      </c>
      <c r="H294" s="14">
        <v>79.39</v>
      </c>
      <c r="I294" s="14">
        <v>20.12</v>
      </c>
      <c r="J294" s="14">
        <v>294.91000000000003</v>
      </c>
      <c r="K294" s="14">
        <v>53.57</v>
      </c>
      <c r="L294" s="17" t="s">
        <v>19</v>
      </c>
    </row>
    <row r="295" spans="1:12" x14ac:dyDescent="0.35">
      <c r="A295" s="8">
        <v>2023</v>
      </c>
      <c r="B295" s="9" t="s">
        <v>37</v>
      </c>
      <c r="C295" s="9" t="s">
        <v>28</v>
      </c>
      <c r="D295" s="9" t="s">
        <v>24</v>
      </c>
      <c r="E295" s="10">
        <v>61064</v>
      </c>
      <c r="F295" s="11">
        <v>65387195.350000001</v>
      </c>
      <c r="G295" s="9">
        <v>5.49</v>
      </c>
      <c r="H295" s="9">
        <v>85.64</v>
      </c>
      <c r="I295" s="9">
        <v>26.68</v>
      </c>
      <c r="J295" s="9">
        <v>170.74</v>
      </c>
      <c r="K295" s="9">
        <v>59.27</v>
      </c>
      <c r="L295" s="12" t="s">
        <v>15</v>
      </c>
    </row>
    <row r="296" spans="1:12" x14ac:dyDescent="0.35">
      <c r="A296" s="13">
        <v>2023</v>
      </c>
      <c r="B296" s="14" t="s">
        <v>37</v>
      </c>
      <c r="C296" s="14" t="s">
        <v>29</v>
      </c>
      <c r="D296" s="14" t="s">
        <v>24</v>
      </c>
      <c r="E296" s="15">
        <v>34138</v>
      </c>
      <c r="F296" s="16">
        <v>54539172.82</v>
      </c>
      <c r="G296" s="14">
        <v>5.92</v>
      </c>
      <c r="H296" s="14">
        <v>98.31</v>
      </c>
      <c r="I296" s="14">
        <v>21.34</v>
      </c>
      <c r="J296" s="14">
        <v>195.17</v>
      </c>
      <c r="K296" s="14">
        <v>79.73</v>
      </c>
      <c r="L296" s="17" t="s">
        <v>15</v>
      </c>
    </row>
    <row r="297" spans="1:12" x14ac:dyDescent="0.35">
      <c r="A297" s="8">
        <v>2023</v>
      </c>
      <c r="B297" s="9" t="s">
        <v>37</v>
      </c>
      <c r="C297" s="9" t="s">
        <v>30</v>
      </c>
      <c r="D297" s="9" t="s">
        <v>24</v>
      </c>
      <c r="E297" s="10">
        <v>36216</v>
      </c>
      <c r="F297" s="11">
        <v>29959374.23</v>
      </c>
      <c r="G297" s="9">
        <v>3.82</v>
      </c>
      <c r="H297" s="9">
        <v>70.59</v>
      </c>
      <c r="I297" s="9">
        <v>46.92</v>
      </c>
      <c r="J297" s="9">
        <v>177.43</v>
      </c>
      <c r="K297" s="9">
        <v>63.86</v>
      </c>
      <c r="L297" s="12" t="s">
        <v>17</v>
      </c>
    </row>
    <row r="298" spans="1:12" x14ac:dyDescent="0.35">
      <c r="A298" s="13">
        <v>2023</v>
      </c>
      <c r="B298" s="14" t="s">
        <v>37</v>
      </c>
      <c r="C298" s="14" t="s">
        <v>31</v>
      </c>
      <c r="D298" s="14" t="s">
        <v>24</v>
      </c>
      <c r="E298" s="15">
        <v>56470</v>
      </c>
      <c r="F298" s="16">
        <v>29368072.66</v>
      </c>
      <c r="G298" s="14">
        <v>5.15</v>
      </c>
      <c r="H298" s="14">
        <v>71.88</v>
      </c>
      <c r="I298" s="14">
        <v>21.15</v>
      </c>
      <c r="J298" s="14">
        <v>192.3</v>
      </c>
      <c r="K298" s="14">
        <v>46.87</v>
      </c>
      <c r="L298" s="17" t="s">
        <v>21</v>
      </c>
    </row>
    <row r="299" spans="1:12" x14ac:dyDescent="0.35">
      <c r="A299" s="8">
        <v>2023</v>
      </c>
      <c r="B299" s="9" t="s">
        <v>37</v>
      </c>
      <c r="C299" s="9" t="s">
        <v>32</v>
      </c>
      <c r="D299" s="9" t="s">
        <v>24</v>
      </c>
      <c r="E299" s="10">
        <v>50544</v>
      </c>
      <c r="F299" s="11">
        <v>43782286.43</v>
      </c>
      <c r="G299" s="9">
        <v>4.6399999999999997</v>
      </c>
      <c r="H299" s="9">
        <v>96.7</v>
      </c>
      <c r="I299" s="9">
        <v>13.78</v>
      </c>
      <c r="J299" s="9">
        <v>184.26</v>
      </c>
      <c r="K299" s="9">
        <v>51.56</v>
      </c>
      <c r="L299" s="12" t="s">
        <v>21</v>
      </c>
    </row>
    <row r="300" spans="1:12" x14ac:dyDescent="0.35">
      <c r="A300" s="13">
        <v>2023</v>
      </c>
      <c r="B300" s="14" t="s">
        <v>37</v>
      </c>
      <c r="C300" s="14" t="s">
        <v>33</v>
      </c>
      <c r="D300" s="14" t="s">
        <v>24</v>
      </c>
      <c r="E300" s="15">
        <v>8752</v>
      </c>
      <c r="F300" s="16">
        <v>38989375.219999999</v>
      </c>
      <c r="G300" s="14">
        <v>2.66</v>
      </c>
      <c r="H300" s="14">
        <v>83.21</v>
      </c>
      <c r="I300" s="14">
        <v>28.99</v>
      </c>
      <c r="J300" s="14">
        <v>286.82</v>
      </c>
      <c r="K300" s="14">
        <v>62.63</v>
      </c>
      <c r="L300" s="17" t="s">
        <v>27</v>
      </c>
    </row>
    <row r="301" spans="1:12" x14ac:dyDescent="0.35">
      <c r="A301" s="8">
        <v>2023</v>
      </c>
      <c r="B301" s="9" t="s">
        <v>37</v>
      </c>
      <c r="C301" s="9" t="s">
        <v>34</v>
      </c>
      <c r="D301" s="9" t="s">
        <v>24</v>
      </c>
      <c r="E301" s="10">
        <v>52161</v>
      </c>
      <c r="F301" s="11">
        <v>28251610.309999999</v>
      </c>
      <c r="G301" s="9">
        <v>4.47</v>
      </c>
      <c r="H301" s="9">
        <v>63.99</v>
      </c>
      <c r="I301" s="9">
        <v>48.56</v>
      </c>
      <c r="J301" s="9">
        <v>255.02</v>
      </c>
      <c r="K301" s="9">
        <v>48.38</v>
      </c>
      <c r="L301" s="12" t="s">
        <v>19</v>
      </c>
    </row>
    <row r="302" spans="1:12" x14ac:dyDescent="0.35">
      <c r="A302" s="13">
        <v>2024</v>
      </c>
      <c r="B302" s="14" t="s">
        <v>12</v>
      </c>
      <c r="C302" s="14" t="s">
        <v>13</v>
      </c>
      <c r="D302" s="14" t="s">
        <v>14</v>
      </c>
      <c r="E302" s="15">
        <v>37131</v>
      </c>
      <c r="F302" s="16">
        <v>45587127.689999998</v>
      </c>
      <c r="G302" s="14">
        <v>0.59</v>
      </c>
      <c r="H302" s="14">
        <v>83.06</v>
      </c>
      <c r="I302" s="14">
        <v>0.33999999999999903</v>
      </c>
      <c r="J302" s="14">
        <v>274.2</v>
      </c>
      <c r="K302" s="14">
        <v>42.93</v>
      </c>
      <c r="L302" s="17" t="s">
        <v>21</v>
      </c>
    </row>
    <row r="303" spans="1:12" x14ac:dyDescent="0.35">
      <c r="A303" s="8">
        <v>2024</v>
      </c>
      <c r="B303" s="9" t="s">
        <v>12</v>
      </c>
      <c r="C303" s="9" t="s">
        <v>16</v>
      </c>
      <c r="D303" s="9" t="s">
        <v>14</v>
      </c>
      <c r="E303" s="10">
        <v>22947</v>
      </c>
      <c r="F303" s="11">
        <v>10581556.07</v>
      </c>
      <c r="G303" s="9">
        <v>2.0299999999999998</v>
      </c>
      <c r="H303" s="9">
        <v>51.05</v>
      </c>
      <c r="I303" s="9">
        <v>13.99</v>
      </c>
      <c r="J303" s="9">
        <v>62.01</v>
      </c>
      <c r="K303" s="9">
        <v>43.39</v>
      </c>
      <c r="L303" s="12" t="s">
        <v>27</v>
      </c>
    </row>
    <row r="304" spans="1:12" x14ac:dyDescent="0.35">
      <c r="A304" s="13">
        <v>2024</v>
      </c>
      <c r="B304" s="14" t="s">
        <v>12</v>
      </c>
      <c r="C304" s="14" t="s">
        <v>18</v>
      </c>
      <c r="D304" s="14" t="s">
        <v>14</v>
      </c>
      <c r="E304" s="15">
        <v>32783</v>
      </c>
      <c r="F304" s="16">
        <v>24954402.68</v>
      </c>
      <c r="G304" s="14">
        <v>-0.12</v>
      </c>
      <c r="H304" s="14">
        <v>68.38</v>
      </c>
      <c r="I304" s="14">
        <v>18.52</v>
      </c>
      <c r="J304" s="14">
        <v>165.62</v>
      </c>
      <c r="K304" s="14">
        <v>84.08</v>
      </c>
      <c r="L304" s="17" t="s">
        <v>15</v>
      </c>
    </row>
    <row r="305" spans="1:12" x14ac:dyDescent="0.35">
      <c r="A305" s="8">
        <v>2024</v>
      </c>
      <c r="B305" s="9" t="s">
        <v>12</v>
      </c>
      <c r="C305" s="9" t="s">
        <v>20</v>
      </c>
      <c r="D305" s="9" t="s">
        <v>14</v>
      </c>
      <c r="E305" s="10">
        <v>11825</v>
      </c>
      <c r="F305" s="11">
        <v>26416166.620000001</v>
      </c>
      <c r="G305" s="9">
        <v>3.72</v>
      </c>
      <c r="H305" s="9">
        <v>48.75</v>
      </c>
      <c r="I305" s="9">
        <v>13.42</v>
      </c>
      <c r="J305" s="9">
        <v>267.68</v>
      </c>
      <c r="K305" s="9">
        <v>82.48</v>
      </c>
      <c r="L305" s="12" t="s">
        <v>15</v>
      </c>
    </row>
    <row r="306" spans="1:12" x14ac:dyDescent="0.35">
      <c r="A306" s="13">
        <v>2024</v>
      </c>
      <c r="B306" s="14" t="s">
        <v>12</v>
      </c>
      <c r="C306" s="14" t="s">
        <v>22</v>
      </c>
      <c r="D306" s="14" t="s">
        <v>14</v>
      </c>
      <c r="E306" s="15">
        <v>11094</v>
      </c>
      <c r="F306" s="16">
        <v>32422221.329999998</v>
      </c>
      <c r="G306" s="14">
        <v>2.75</v>
      </c>
      <c r="H306" s="14">
        <v>69.33</v>
      </c>
      <c r="I306" s="14">
        <v>8.1999999999999993</v>
      </c>
      <c r="J306" s="14">
        <v>259.14999999999998</v>
      </c>
      <c r="K306" s="14">
        <v>73.14</v>
      </c>
      <c r="L306" s="17" t="s">
        <v>19</v>
      </c>
    </row>
    <row r="307" spans="1:12" x14ac:dyDescent="0.35">
      <c r="A307" s="8">
        <v>2024</v>
      </c>
      <c r="B307" s="9" t="s">
        <v>12</v>
      </c>
      <c r="C307" s="9" t="s">
        <v>23</v>
      </c>
      <c r="D307" s="9" t="s">
        <v>24</v>
      </c>
      <c r="E307" s="10">
        <v>54883</v>
      </c>
      <c r="F307" s="11">
        <v>29105714.760000002</v>
      </c>
      <c r="G307" s="9">
        <v>6.45</v>
      </c>
      <c r="H307" s="9">
        <v>41.13</v>
      </c>
      <c r="I307" s="9">
        <v>51.34</v>
      </c>
      <c r="J307" s="9">
        <v>117.64</v>
      </c>
      <c r="K307" s="9">
        <v>58.15</v>
      </c>
      <c r="L307" s="12" t="s">
        <v>21</v>
      </c>
    </row>
    <row r="308" spans="1:12" x14ac:dyDescent="0.35">
      <c r="A308" s="13">
        <v>2024</v>
      </c>
      <c r="B308" s="14" t="s">
        <v>12</v>
      </c>
      <c r="C308" s="14" t="s">
        <v>25</v>
      </c>
      <c r="D308" s="14" t="s">
        <v>24</v>
      </c>
      <c r="E308" s="15">
        <v>31220</v>
      </c>
      <c r="F308" s="16">
        <v>36722606.380000003</v>
      </c>
      <c r="G308" s="14">
        <v>6.53</v>
      </c>
      <c r="H308" s="14">
        <v>40.51</v>
      </c>
      <c r="I308" s="14">
        <v>32.239999999999903</v>
      </c>
      <c r="J308" s="14">
        <v>130.35</v>
      </c>
      <c r="K308" s="14">
        <v>80.87</v>
      </c>
      <c r="L308" s="17" t="s">
        <v>17</v>
      </c>
    </row>
    <row r="309" spans="1:12" x14ac:dyDescent="0.35">
      <c r="A309" s="8">
        <v>2024</v>
      </c>
      <c r="B309" s="9" t="s">
        <v>12</v>
      </c>
      <c r="C309" s="9" t="s">
        <v>26</v>
      </c>
      <c r="D309" s="9" t="s">
        <v>24</v>
      </c>
      <c r="E309" s="10">
        <v>11255</v>
      </c>
      <c r="F309" s="11">
        <v>40448789.530000001</v>
      </c>
      <c r="G309" s="9">
        <v>6.91</v>
      </c>
      <c r="H309" s="9">
        <v>69.89</v>
      </c>
      <c r="I309" s="9">
        <v>14.95</v>
      </c>
      <c r="J309" s="9">
        <v>211</v>
      </c>
      <c r="K309" s="9">
        <v>67.67</v>
      </c>
      <c r="L309" s="12" t="s">
        <v>21</v>
      </c>
    </row>
    <row r="310" spans="1:12" x14ac:dyDescent="0.35">
      <c r="A310" s="13">
        <v>2024</v>
      </c>
      <c r="B310" s="14" t="s">
        <v>12</v>
      </c>
      <c r="C310" s="14" t="s">
        <v>28</v>
      </c>
      <c r="D310" s="14" t="s">
        <v>24</v>
      </c>
      <c r="E310" s="15">
        <v>62968</v>
      </c>
      <c r="F310" s="16">
        <v>36037742.340000004</v>
      </c>
      <c r="G310" s="14">
        <v>3.27</v>
      </c>
      <c r="H310" s="14">
        <v>91.81</v>
      </c>
      <c r="I310" s="14">
        <v>35.090000000000003</v>
      </c>
      <c r="J310" s="14">
        <v>236.61</v>
      </c>
      <c r="K310" s="14">
        <v>93.38</v>
      </c>
      <c r="L310" s="17" t="s">
        <v>19</v>
      </c>
    </row>
    <row r="311" spans="1:12" x14ac:dyDescent="0.35">
      <c r="A311" s="8">
        <v>2024</v>
      </c>
      <c r="B311" s="9" t="s">
        <v>12</v>
      </c>
      <c r="C311" s="9" t="s">
        <v>29</v>
      </c>
      <c r="D311" s="9" t="s">
        <v>24</v>
      </c>
      <c r="E311" s="10">
        <v>57073</v>
      </c>
      <c r="F311" s="11">
        <v>27851665.91</v>
      </c>
      <c r="G311" s="9">
        <v>2.61</v>
      </c>
      <c r="H311" s="9">
        <v>66.33</v>
      </c>
      <c r="I311" s="9">
        <v>8.11</v>
      </c>
      <c r="J311" s="9">
        <v>196.33</v>
      </c>
      <c r="K311" s="9">
        <v>89.62</v>
      </c>
      <c r="L311" s="12" t="s">
        <v>17</v>
      </c>
    </row>
    <row r="312" spans="1:12" x14ac:dyDescent="0.35">
      <c r="A312" s="13">
        <v>2024</v>
      </c>
      <c r="B312" s="14" t="s">
        <v>12</v>
      </c>
      <c r="C312" s="14" t="s">
        <v>30</v>
      </c>
      <c r="D312" s="14" t="s">
        <v>24</v>
      </c>
      <c r="E312" s="15">
        <v>43911</v>
      </c>
      <c r="F312" s="16">
        <v>45501962.543999903</v>
      </c>
      <c r="G312" s="14">
        <v>4.21</v>
      </c>
      <c r="H312" s="14">
        <v>45.54</v>
      </c>
      <c r="I312" s="14">
        <v>47.18</v>
      </c>
      <c r="J312" s="14">
        <v>293.87</v>
      </c>
      <c r="K312" s="14">
        <v>46.55</v>
      </c>
      <c r="L312" s="17" t="s">
        <v>27</v>
      </c>
    </row>
    <row r="313" spans="1:12" x14ac:dyDescent="0.35">
      <c r="A313" s="8">
        <v>2024</v>
      </c>
      <c r="B313" s="9" t="s">
        <v>12</v>
      </c>
      <c r="C313" s="9" t="s">
        <v>31</v>
      </c>
      <c r="D313" s="9" t="s">
        <v>24</v>
      </c>
      <c r="E313" s="10">
        <v>6628</v>
      </c>
      <c r="F313" s="11">
        <v>36995468.590000004</v>
      </c>
      <c r="G313" s="9">
        <v>4.8099999999999996</v>
      </c>
      <c r="H313" s="9">
        <v>93.86</v>
      </c>
      <c r="I313" s="9">
        <v>26.43</v>
      </c>
      <c r="J313" s="9">
        <v>157.51</v>
      </c>
      <c r="K313" s="9">
        <v>45.53</v>
      </c>
      <c r="L313" s="12" t="s">
        <v>27</v>
      </c>
    </row>
    <row r="314" spans="1:12" x14ac:dyDescent="0.35">
      <c r="A314" s="13">
        <v>2024</v>
      </c>
      <c r="B314" s="14" t="s">
        <v>12</v>
      </c>
      <c r="C314" s="14" t="s">
        <v>32</v>
      </c>
      <c r="D314" s="14" t="s">
        <v>24</v>
      </c>
      <c r="E314" s="15">
        <v>54366</v>
      </c>
      <c r="F314" s="16">
        <v>58337180.299999997</v>
      </c>
      <c r="G314" s="14">
        <v>2.87</v>
      </c>
      <c r="H314" s="14">
        <v>90.7</v>
      </c>
      <c r="I314" s="14">
        <v>13.54</v>
      </c>
      <c r="J314" s="14">
        <v>83.75</v>
      </c>
      <c r="K314" s="14">
        <v>56.88</v>
      </c>
      <c r="L314" s="17" t="s">
        <v>15</v>
      </c>
    </row>
    <row r="315" spans="1:12" x14ac:dyDescent="0.35">
      <c r="A315" s="8">
        <v>2024</v>
      </c>
      <c r="B315" s="9" t="s">
        <v>12</v>
      </c>
      <c r="C315" s="9" t="s">
        <v>33</v>
      </c>
      <c r="D315" s="9" t="s">
        <v>24</v>
      </c>
      <c r="E315" s="10">
        <v>43162</v>
      </c>
      <c r="F315" s="11">
        <v>43400860.595999897</v>
      </c>
      <c r="G315" s="9">
        <v>3.11</v>
      </c>
      <c r="H315" s="9">
        <v>73.38</v>
      </c>
      <c r="I315" s="9">
        <v>46.43</v>
      </c>
      <c r="J315" s="9">
        <v>195.74</v>
      </c>
      <c r="K315" s="9">
        <v>49.58</v>
      </c>
      <c r="L315" s="12" t="s">
        <v>19</v>
      </c>
    </row>
    <row r="316" spans="1:12" x14ac:dyDescent="0.35">
      <c r="A316" s="13">
        <v>2024</v>
      </c>
      <c r="B316" s="14" t="s">
        <v>12</v>
      </c>
      <c r="C316" s="14" t="s">
        <v>34</v>
      </c>
      <c r="D316" s="14" t="s">
        <v>24</v>
      </c>
      <c r="E316" s="15">
        <v>24624</v>
      </c>
      <c r="F316" s="16">
        <v>36547057.850000001</v>
      </c>
      <c r="G316" s="14">
        <v>6.92</v>
      </c>
      <c r="H316" s="14">
        <v>54.55</v>
      </c>
      <c r="I316" s="14">
        <v>50.77</v>
      </c>
      <c r="J316" s="14">
        <v>120.07</v>
      </c>
      <c r="K316" s="14">
        <v>50.72</v>
      </c>
      <c r="L316" s="17" t="s">
        <v>21</v>
      </c>
    </row>
    <row r="317" spans="1:12" x14ac:dyDescent="0.35">
      <c r="A317" s="8">
        <v>2024</v>
      </c>
      <c r="B317" s="9" t="s">
        <v>35</v>
      </c>
      <c r="C317" s="9" t="s">
        <v>13</v>
      </c>
      <c r="D317" s="9" t="s">
        <v>14</v>
      </c>
      <c r="E317" s="10">
        <v>26237</v>
      </c>
      <c r="F317" s="11">
        <v>30930455.537999999</v>
      </c>
      <c r="G317" s="9">
        <v>2.72</v>
      </c>
      <c r="H317" s="9">
        <v>30.37</v>
      </c>
      <c r="I317" s="9">
        <v>43.72</v>
      </c>
      <c r="J317" s="9">
        <v>205.74</v>
      </c>
      <c r="K317" s="9">
        <v>48.09</v>
      </c>
      <c r="L317" s="12" t="s">
        <v>19</v>
      </c>
    </row>
    <row r="318" spans="1:12" x14ac:dyDescent="0.35">
      <c r="A318" s="13">
        <v>2024</v>
      </c>
      <c r="B318" s="14" t="s">
        <v>35</v>
      </c>
      <c r="C318" s="14" t="s">
        <v>16</v>
      </c>
      <c r="D318" s="14" t="s">
        <v>14</v>
      </c>
      <c r="E318" s="15">
        <v>22269</v>
      </c>
      <c r="F318" s="16">
        <v>16275671.49</v>
      </c>
      <c r="G318" s="14">
        <v>2.2400000000000002</v>
      </c>
      <c r="H318" s="14">
        <v>67.36</v>
      </c>
      <c r="I318" s="14">
        <v>2.27</v>
      </c>
      <c r="J318" s="14">
        <v>216.59</v>
      </c>
      <c r="K318" s="14">
        <v>73.239999999999995</v>
      </c>
      <c r="L318" s="17" t="s">
        <v>21</v>
      </c>
    </row>
    <row r="319" spans="1:12" x14ac:dyDescent="0.35">
      <c r="A319" s="8">
        <v>2024</v>
      </c>
      <c r="B319" s="9" t="s">
        <v>35</v>
      </c>
      <c r="C319" s="9" t="s">
        <v>18</v>
      </c>
      <c r="D319" s="9" t="s">
        <v>14</v>
      </c>
      <c r="E319" s="10">
        <v>27314</v>
      </c>
      <c r="F319" s="11">
        <v>25415808.77</v>
      </c>
      <c r="G319" s="9">
        <v>0.48</v>
      </c>
      <c r="H319" s="9">
        <v>88.91</v>
      </c>
      <c r="I319" s="9">
        <v>13.08</v>
      </c>
      <c r="J319" s="9">
        <v>84.12</v>
      </c>
      <c r="K319" s="9">
        <v>40.119999999999997</v>
      </c>
      <c r="L319" s="12" t="s">
        <v>27</v>
      </c>
    </row>
    <row r="320" spans="1:12" x14ac:dyDescent="0.35">
      <c r="A320" s="13">
        <v>2024</v>
      </c>
      <c r="B320" s="14" t="s">
        <v>35</v>
      </c>
      <c r="C320" s="14" t="s">
        <v>20</v>
      </c>
      <c r="D320" s="14" t="s">
        <v>14</v>
      </c>
      <c r="E320" s="15">
        <v>18938</v>
      </c>
      <c r="F320" s="16">
        <v>16203612.710000001</v>
      </c>
      <c r="G320" s="14">
        <v>3.04</v>
      </c>
      <c r="H320" s="14">
        <v>84.26</v>
      </c>
      <c r="I320" s="14">
        <v>14.97</v>
      </c>
      <c r="J320" s="14">
        <v>201.33</v>
      </c>
      <c r="K320" s="14">
        <v>75.69</v>
      </c>
      <c r="L320" s="17" t="s">
        <v>27</v>
      </c>
    </row>
    <row r="321" spans="1:12" x14ac:dyDescent="0.35">
      <c r="A321" s="8">
        <v>2024</v>
      </c>
      <c r="B321" s="9" t="s">
        <v>35</v>
      </c>
      <c r="C321" s="9" t="s">
        <v>22</v>
      </c>
      <c r="D321" s="9" t="s">
        <v>14</v>
      </c>
      <c r="E321" s="10">
        <v>14478</v>
      </c>
      <c r="F321" s="11">
        <v>46356728.390000001</v>
      </c>
      <c r="G321" s="9">
        <v>1.47</v>
      </c>
      <c r="H321" s="9">
        <v>44.98</v>
      </c>
      <c r="I321" s="9">
        <v>31.83</v>
      </c>
      <c r="J321" s="9">
        <v>190.4</v>
      </c>
      <c r="K321" s="9">
        <v>78.16</v>
      </c>
      <c r="L321" s="12" t="s">
        <v>17</v>
      </c>
    </row>
    <row r="322" spans="1:12" x14ac:dyDescent="0.35">
      <c r="A322" s="13">
        <v>2024</v>
      </c>
      <c r="B322" s="14" t="s">
        <v>35</v>
      </c>
      <c r="C322" s="14" t="s">
        <v>23</v>
      </c>
      <c r="D322" s="14" t="s">
        <v>24</v>
      </c>
      <c r="E322" s="15">
        <v>64381</v>
      </c>
      <c r="F322" s="16">
        <v>8891741.3399999999</v>
      </c>
      <c r="G322" s="14">
        <v>3.46</v>
      </c>
      <c r="H322" s="14">
        <v>81.540000000000006</v>
      </c>
      <c r="I322" s="14">
        <v>25.48</v>
      </c>
      <c r="J322" s="14">
        <v>147.47999999999999</v>
      </c>
      <c r="K322" s="14">
        <v>52.94</v>
      </c>
      <c r="L322" s="17" t="s">
        <v>21</v>
      </c>
    </row>
    <row r="323" spans="1:12" x14ac:dyDescent="0.35">
      <c r="A323" s="8">
        <v>2024</v>
      </c>
      <c r="B323" s="9" t="s">
        <v>35</v>
      </c>
      <c r="C323" s="9" t="s">
        <v>25</v>
      </c>
      <c r="D323" s="9" t="s">
        <v>24</v>
      </c>
      <c r="E323" s="10">
        <v>33515</v>
      </c>
      <c r="F323" s="11">
        <v>35787763.82</v>
      </c>
      <c r="G323" s="9">
        <v>4.3</v>
      </c>
      <c r="H323" s="9">
        <v>82.09</v>
      </c>
      <c r="I323" s="9">
        <v>44.83</v>
      </c>
      <c r="J323" s="9">
        <v>256.14</v>
      </c>
      <c r="K323" s="9">
        <v>51.86</v>
      </c>
      <c r="L323" s="12" t="s">
        <v>17</v>
      </c>
    </row>
    <row r="324" spans="1:12" x14ac:dyDescent="0.35">
      <c r="A324" s="13">
        <v>2024</v>
      </c>
      <c r="B324" s="14" t="s">
        <v>35</v>
      </c>
      <c r="C324" s="14" t="s">
        <v>26</v>
      </c>
      <c r="D324" s="14" t="s">
        <v>24</v>
      </c>
      <c r="E324" s="15">
        <v>14587</v>
      </c>
      <c r="F324" s="16">
        <v>28041204.800000001</v>
      </c>
      <c r="G324" s="14">
        <v>2.85</v>
      </c>
      <c r="H324" s="14">
        <v>53.66</v>
      </c>
      <c r="I324" s="14">
        <v>51.8</v>
      </c>
      <c r="J324" s="14">
        <v>126.75</v>
      </c>
      <c r="K324" s="14">
        <v>94.43</v>
      </c>
      <c r="L324" s="17" t="s">
        <v>15</v>
      </c>
    </row>
    <row r="325" spans="1:12" x14ac:dyDescent="0.35">
      <c r="A325" s="8">
        <v>2024</v>
      </c>
      <c r="B325" s="9" t="s">
        <v>35</v>
      </c>
      <c r="C325" s="9" t="s">
        <v>28</v>
      </c>
      <c r="D325" s="9" t="s">
        <v>24</v>
      </c>
      <c r="E325" s="10">
        <v>47712</v>
      </c>
      <c r="F325" s="11">
        <v>18117011.059999999</v>
      </c>
      <c r="G325" s="9">
        <v>3.62</v>
      </c>
      <c r="H325" s="9">
        <v>64.38</v>
      </c>
      <c r="I325" s="9">
        <v>33.69</v>
      </c>
      <c r="J325" s="9">
        <v>172.94</v>
      </c>
      <c r="K325" s="9">
        <v>72.78</v>
      </c>
      <c r="L325" s="12" t="s">
        <v>21</v>
      </c>
    </row>
    <row r="326" spans="1:12" x14ac:dyDescent="0.35">
      <c r="A326" s="13">
        <v>2024</v>
      </c>
      <c r="B326" s="14" t="s">
        <v>35</v>
      </c>
      <c r="C326" s="14" t="s">
        <v>29</v>
      </c>
      <c r="D326" s="14" t="s">
        <v>24</v>
      </c>
      <c r="E326" s="15">
        <v>24276</v>
      </c>
      <c r="F326" s="16">
        <v>82025137.200000003</v>
      </c>
      <c r="G326" s="14">
        <v>6.27</v>
      </c>
      <c r="H326" s="14">
        <v>51.96</v>
      </c>
      <c r="I326" s="14">
        <v>37.97</v>
      </c>
      <c r="J326" s="14">
        <v>177.35</v>
      </c>
      <c r="K326" s="14">
        <v>73.86</v>
      </c>
      <c r="L326" s="17" t="s">
        <v>17</v>
      </c>
    </row>
    <row r="327" spans="1:12" x14ac:dyDescent="0.35">
      <c r="A327" s="8">
        <v>2024</v>
      </c>
      <c r="B327" s="9" t="s">
        <v>35</v>
      </c>
      <c r="C327" s="9" t="s">
        <v>30</v>
      </c>
      <c r="D327" s="9" t="s">
        <v>24</v>
      </c>
      <c r="E327" s="10">
        <v>28349</v>
      </c>
      <c r="F327" s="11">
        <v>29473665.23</v>
      </c>
      <c r="G327" s="9">
        <v>6.51</v>
      </c>
      <c r="H327" s="9">
        <v>94.18</v>
      </c>
      <c r="I327" s="9">
        <v>34.270000000000003</v>
      </c>
      <c r="J327" s="9">
        <v>103.77</v>
      </c>
      <c r="K327" s="9">
        <v>65.41</v>
      </c>
      <c r="L327" s="12" t="s">
        <v>15</v>
      </c>
    </row>
    <row r="328" spans="1:12" x14ac:dyDescent="0.35">
      <c r="A328" s="13">
        <v>2024</v>
      </c>
      <c r="B328" s="14" t="s">
        <v>35</v>
      </c>
      <c r="C328" s="14" t="s">
        <v>31</v>
      </c>
      <c r="D328" s="14" t="s">
        <v>24</v>
      </c>
      <c r="E328" s="15">
        <v>33169</v>
      </c>
      <c r="F328" s="16">
        <v>35954900.030000001</v>
      </c>
      <c r="G328" s="14">
        <v>5.42</v>
      </c>
      <c r="H328" s="14">
        <v>53.54</v>
      </c>
      <c r="I328" s="14">
        <v>26.02</v>
      </c>
      <c r="J328" s="14">
        <v>294.86</v>
      </c>
      <c r="K328" s="14">
        <v>54.66</v>
      </c>
      <c r="L328" s="17" t="s">
        <v>27</v>
      </c>
    </row>
    <row r="329" spans="1:12" x14ac:dyDescent="0.35">
      <c r="A329" s="8">
        <v>2024</v>
      </c>
      <c r="B329" s="9" t="s">
        <v>35</v>
      </c>
      <c r="C329" s="9" t="s">
        <v>32</v>
      </c>
      <c r="D329" s="9" t="s">
        <v>24</v>
      </c>
      <c r="E329" s="10">
        <v>7463</v>
      </c>
      <c r="F329" s="11">
        <v>54322194.789999999</v>
      </c>
      <c r="G329" s="9">
        <v>3.42</v>
      </c>
      <c r="H329" s="9">
        <v>84.33</v>
      </c>
      <c r="I329" s="9">
        <v>29.05</v>
      </c>
      <c r="J329" s="9">
        <v>82.85</v>
      </c>
      <c r="K329" s="9">
        <v>88.18</v>
      </c>
      <c r="L329" s="12" t="s">
        <v>21</v>
      </c>
    </row>
    <row r="330" spans="1:12" x14ac:dyDescent="0.35">
      <c r="A330" s="13">
        <v>2024</v>
      </c>
      <c r="B330" s="14" t="s">
        <v>35</v>
      </c>
      <c r="C330" s="14" t="s">
        <v>33</v>
      </c>
      <c r="D330" s="14" t="s">
        <v>24</v>
      </c>
      <c r="E330" s="15">
        <v>16723</v>
      </c>
      <c r="F330" s="16">
        <v>10462398.76</v>
      </c>
      <c r="G330" s="14">
        <v>5.79</v>
      </c>
      <c r="H330" s="14">
        <v>80.56</v>
      </c>
      <c r="I330" s="14">
        <v>28.87</v>
      </c>
      <c r="J330" s="14">
        <v>162.51</v>
      </c>
      <c r="K330" s="14">
        <v>72.81</v>
      </c>
      <c r="L330" s="17" t="s">
        <v>19</v>
      </c>
    </row>
    <row r="331" spans="1:12" x14ac:dyDescent="0.35">
      <c r="A331" s="8">
        <v>2024</v>
      </c>
      <c r="B331" s="9" t="s">
        <v>35</v>
      </c>
      <c r="C331" s="9" t="s">
        <v>34</v>
      </c>
      <c r="D331" s="9" t="s">
        <v>24</v>
      </c>
      <c r="E331" s="10">
        <v>44327</v>
      </c>
      <c r="F331" s="11">
        <v>51331262.543999903</v>
      </c>
      <c r="G331" s="9">
        <v>4.95</v>
      </c>
      <c r="H331" s="9">
        <v>78.31</v>
      </c>
      <c r="I331" s="9">
        <v>41.66</v>
      </c>
      <c r="J331" s="9">
        <v>198.84</v>
      </c>
      <c r="K331" s="9">
        <v>46.44</v>
      </c>
      <c r="L331" s="12" t="s">
        <v>19</v>
      </c>
    </row>
    <row r="332" spans="1:12" x14ac:dyDescent="0.35">
      <c r="A332" s="13">
        <v>2024</v>
      </c>
      <c r="B332" s="14" t="s">
        <v>36</v>
      </c>
      <c r="C332" s="14" t="s">
        <v>13</v>
      </c>
      <c r="D332" s="14" t="s">
        <v>14</v>
      </c>
      <c r="E332" s="15">
        <v>32671</v>
      </c>
      <c r="F332" s="16">
        <v>47591496.990000002</v>
      </c>
      <c r="G332" s="14">
        <v>2.77</v>
      </c>
      <c r="H332" s="14">
        <v>27.94</v>
      </c>
      <c r="I332" s="14">
        <v>32.880000000000003</v>
      </c>
      <c r="J332" s="14">
        <v>71.209999999999994</v>
      </c>
      <c r="K332" s="14">
        <v>82.95</v>
      </c>
      <c r="L332" s="17" t="s">
        <v>15</v>
      </c>
    </row>
    <row r="333" spans="1:12" x14ac:dyDescent="0.35">
      <c r="A333" s="8">
        <v>2024</v>
      </c>
      <c r="B333" s="9" t="s">
        <v>36</v>
      </c>
      <c r="C333" s="9" t="s">
        <v>16</v>
      </c>
      <c r="D333" s="9" t="s">
        <v>14</v>
      </c>
      <c r="E333" s="10">
        <v>40214</v>
      </c>
      <c r="F333" s="11">
        <v>41136987.82</v>
      </c>
      <c r="G333" s="9">
        <v>0.13999999999999899</v>
      </c>
      <c r="H333" s="9">
        <v>87.83</v>
      </c>
      <c r="I333" s="9">
        <v>40.29</v>
      </c>
      <c r="J333" s="9">
        <v>259.95</v>
      </c>
      <c r="K333" s="9">
        <v>42.51</v>
      </c>
      <c r="L333" s="12" t="s">
        <v>15</v>
      </c>
    </row>
    <row r="334" spans="1:12" x14ac:dyDescent="0.35">
      <c r="A334" s="13">
        <v>2024</v>
      </c>
      <c r="B334" s="14" t="s">
        <v>36</v>
      </c>
      <c r="C334" s="14" t="s">
        <v>18</v>
      </c>
      <c r="D334" s="14" t="s">
        <v>14</v>
      </c>
      <c r="E334" s="15">
        <v>5564</v>
      </c>
      <c r="F334" s="16">
        <v>59801417.460000001</v>
      </c>
      <c r="G334" s="14">
        <v>3.5</v>
      </c>
      <c r="H334" s="14">
        <v>48.6</v>
      </c>
      <c r="I334" s="14">
        <v>29.86</v>
      </c>
      <c r="J334" s="14">
        <v>213.04</v>
      </c>
      <c r="K334" s="14">
        <v>46.39</v>
      </c>
      <c r="L334" s="17" t="s">
        <v>27</v>
      </c>
    </row>
    <row r="335" spans="1:12" x14ac:dyDescent="0.35">
      <c r="A335" s="8">
        <v>2024</v>
      </c>
      <c r="B335" s="9" t="s">
        <v>36</v>
      </c>
      <c r="C335" s="9" t="s">
        <v>20</v>
      </c>
      <c r="D335" s="9" t="s">
        <v>14</v>
      </c>
      <c r="E335" s="10">
        <v>19903</v>
      </c>
      <c r="F335" s="11">
        <v>17437926.68</v>
      </c>
      <c r="G335" s="9">
        <v>3.41</v>
      </c>
      <c r="H335" s="9">
        <v>61.77</v>
      </c>
      <c r="I335" s="9">
        <v>2.81</v>
      </c>
      <c r="J335" s="9">
        <v>289.86</v>
      </c>
      <c r="K335" s="9">
        <v>52.2</v>
      </c>
      <c r="L335" s="12" t="s">
        <v>19</v>
      </c>
    </row>
    <row r="336" spans="1:12" x14ac:dyDescent="0.35">
      <c r="A336" s="13">
        <v>2024</v>
      </c>
      <c r="B336" s="14" t="s">
        <v>36</v>
      </c>
      <c r="C336" s="14" t="s">
        <v>22</v>
      </c>
      <c r="D336" s="14" t="s">
        <v>14</v>
      </c>
      <c r="E336" s="15">
        <v>21386</v>
      </c>
      <c r="F336" s="16">
        <v>36904339.770000003</v>
      </c>
      <c r="G336" s="14">
        <v>2.99</v>
      </c>
      <c r="H336" s="14">
        <v>72.989999999999995</v>
      </c>
      <c r="I336" s="14">
        <v>35.39</v>
      </c>
      <c r="J336" s="14">
        <v>296.75</v>
      </c>
      <c r="K336" s="14">
        <v>75.59</v>
      </c>
      <c r="L336" s="17" t="s">
        <v>17</v>
      </c>
    </row>
    <row r="337" spans="1:12" x14ac:dyDescent="0.35">
      <c r="A337" s="8">
        <v>2024</v>
      </c>
      <c r="B337" s="9" t="s">
        <v>36</v>
      </c>
      <c r="C337" s="9" t="s">
        <v>23</v>
      </c>
      <c r="D337" s="9" t="s">
        <v>24</v>
      </c>
      <c r="E337" s="10">
        <v>27969</v>
      </c>
      <c r="F337" s="11">
        <v>70164647.829999998</v>
      </c>
      <c r="G337" s="9">
        <v>2.62</v>
      </c>
      <c r="H337" s="9">
        <v>46.76</v>
      </c>
      <c r="I337" s="9">
        <v>43.61</v>
      </c>
      <c r="J337" s="9">
        <v>103.25</v>
      </c>
      <c r="K337" s="9">
        <v>63.21</v>
      </c>
      <c r="L337" s="12" t="s">
        <v>19</v>
      </c>
    </row>
    <row r="338" spans="1:12" x14ac:dyDescent="0.35">
      <c r="A338" s="13">
        <v>2024</v>
      </c>
      <c r="B338" s="14" t="s">
        <v>36</v>
      </c>
      <c r="C338" s="14" t="s">
        <v>25</v>
      </c>
      <c r="D338" s="14" t="s">
        <v>24</v>
      </c>
      <c r="E338" s="15">
        <v>37433</v>
      </c>
      <c r="F338" s="16">
        <v>18338586.460000001</v>
      </c>
      <c r="G338" s="14">
        <v>4.04</v>
      </c>
      <c r="H338" s="14">
        <v>87.64</v>
      </c>
      <c r="I338" s="14">
        <v>53.76</v>
      </c>
      <c r="J338" s="14">
        <v>101.77</v>
      </c>
      <c r="K338" s="14">
        <v>50.02</v>
      </c>
      <c r="L338" s="17" t="s">
        <v>19</v>
      </c>
    </row>
    <row r="339" spans="1:12" x14ac:dyDescent="0.35">
      <c r="A339" s="8">
        <v>2024</v>
      </c>
      <c r="B339" s="9" t="s">
        <v>36</v>
      </c>
      <c r="C339" s="9" t="s">
        <v>26</v>
      </c>
      <c r="D339" s="9" t="s">
        <v>24</v>
      </c>
      <c r="E339" s="10">
        <v>39286</v>
      </c>
      <c r="F339" s="11">
        <v>60220617.189999998</v>
      </c>
      <c r="G339" s="9">
        <v>3.28</v>
      </c>
      <c r="H339" s="9">
        <v>52.62</v>
      </c>
      <c r="I339" s="9">
        <v>54.48</v>
      </c>
      <c r="J339" s="9">
        <v>284.67</v>
      </c>
      <c r="K339" s="9">
        <v>72.09</v>
      </c>
      <c r="L339" s="12" t="s">
        <v>27</v>
      </c>
    </row>
    <row r="340" spans="1:12" x14ac:dyDescent="0.35">
      <c r="A340" s="13">
        <v>2024</v>
      </c>
      <c r="B340" s="14" t="s">
        <v>36</v>
      </c>
      <c r="C340" s="14" t="s">
        <v>28</v>
      </c>
      <c r="D340" s="14" t="s">
        <v>24</v>
      </c>
      <c r="E340" s="15">
        <v>53528</v>
      </c>
      <c r="F340" s="16">
        <v>21387152.239999998</v>
      </c>
      <c r="G340" s="14">
        <v>6.42</v>
      </c>
      <c r="H340" s="14">
        <v>103.82</v>
      </c>
      <c r="I340" s="14">
        <v>51.01</v>
      </c>
      <c r="J340" s="14">
        <v>130.55000000000001</v>
      </c>
      <c r="K340" s="14">
        <v>85.26</v>
      </c>
      <c r="L340" s="17" t="s">
        <v>19</v>
      </c>
    </row>
    <row r="341" spans="1:12" x14ac:dyDescent="0.35">
      <c r="A341" s="8">
        <v>2024</v>
      </c>
      <c r="B341" s="9" t="s">
        <v>36</v>
      </c>
      <c r="C341" s="9" t="s">
        <v>29</v>
      </c>
      <c r="D341" s="9" t="s">
        <v>24</v>
      </c>
      <c r="E341" s="10">
        <v>35291</v>
      </c>
      <c r="F341" s="11">
        <v>49226395.399999999</v>
      </c>
      <c r="G341" s="9">
        <v>6.75</v>
      </c>
      <c r="H341" s="9">
        <v>62.89</v>
      </c>
      <c r="I341" s="9">
        <v>24.49</v>
      </c>
      <c r="J341" s="9">
        <v>220.65</v>
      </c>
      <c r="K341" s="9">
        <v>89.72</v>
      </c>
      <c r="L341" s="12" t="s">
        <v>21</v>
      </c>
    </row>
    <row r="342" spans="1:12" x14ac:dyDescent="0.35">
      <c r="A342" s="13">
        <v>2024</v>
      </c>
      <c r="B342" s="14" t="s">
        <v>36</v>
      </c>
      <c r="C342" s="14" t="s">
        <v>30</v>
      </c>
      <c r="D342" s="14" t="s">
        <v>24</v>
      </c>
      <c r="E342" s="15">
        <v>59709</v>
      </c>
      <c r="F342" s="16">
        <v>24247149.039999999</v>
      </c>
      <c r="G342" s="14">
        <v>6.3</v>
      </c>
      <c r="H342" s="14">
        <v>103.78</v>
      </c>
      <c r="I342" s="14">
        <v>12.99</v>
      </c>
      <c r="J342" s="14">
        <v>284.37</v>
      </c>
      <c r="K342" s="14">
        <v>67.069999999999993</v>
      </c>
      <c r="L342" s="17" t="s">
        <v>19</v>
      </c>
    </row>
    <row r="343" spans="1:12" x14ac:dyDescent="0.35">
      <c r="A343" s="8">
        <v>2024</v>
      </c>
      <c r="B343" s="9" t="s">
        <v>36</v>
      </c>
      <c r="C343" s="9" t="s">
        <v>31</v>
      </c>
      <c r="D343" s="9" t="s">
        <v>24</v>
      </c>
      <c r="E343" s="10">
        <v>43568</v>
      </c>
      <c r="F343" s="11">
        <v>7815666.2519999901</v>
      </c>
      <c r="G343" s="9">
        <v>5.04</v>
      </c>
      <c r="H343" s="9">
        <v>74.459999999999994</v>
      </c>
      <c r="I343" s="9">
        <v>45.39</v>
      </c>
      <c r="J343" s="9">
        <v>255.35</v>
      </c>
      <c r="K343" s="9">
        <v>72.28</v>
      </c>
      <c r="L343" s="12" t="s">
        <v>21</v>
      </c>
    </row>
    <row r="344" spans="1:12" x14ac:dyDescent="0.35">
      <c r="A344" s="13">
        <v>2024</v>
      </c>
      <c r="B344" s="14" t="s">
        <v>36</v>
      </c>
      <c r="C344" s="14" t="s">
        <v>32</v>
      </c>
      <c r="D344" s="14" t="s">
        <v>24</v>
      </c>
      <c r="E344" s="15">
        <v>14266</v>
      </c>
      <c r="F344" s="16">
        <v>34815441.960000001</v>
      </c>
      <c r="G344" s="14">
        <v>4.33</v>
      </c>
      <c r="H344" s="14">
        <v>40.78</v>
      </c>
      <c r="I344" s="14">
        <v>17.489999999999998</v>
      </c>
      <c r="J344" s="14">
        <v>190.78</v>
      </c>
      <c r="K344" s="14">
        <v>88.08</v>
      </c>
      <c r="L344" s="17" t="s">
        <v>17</v>
      </c>
    </row>
    <row r="345" spans="1:12" x14ac:dyDescent="0.35">
      <c r="A345" s="8">
        <v>2024</v>
      </c>
      <c r="B345" s="9" t="s">
        <v>36</v>
      </c>
      <c r="C345" s="9" t="s">
        <v>33</v>
      </c>
      <c r="D345" s="9" t="s">
        <v>24</v>
      </c>
      <c r="E345" s="10">
        <v>15763</v>
      </c>
      <c r="F345" s="11">
        <v>7376208.852</v>
      </c>
      <c r="G345" s="9">
        <v>5.89</v>
      </c>
      <c r="H345" s="9">
        <v>74.459999999999994</v>
      </c>
      <c r="I345" s="9">
        <v>50.36</v>
      </c>
      <c r="J345" s="9">
        <v>173.23</v>
      </c>
      <c r="K345" s="9">
        <v>52.39</v>
      </c>
      <c r="L345" s="12" t="s">
        <v>21</v>
      </c>
    </row>
    <row r="346" spans="1:12" x14ac:dyDescent="0.35">
      <c r="A346" s="13">
        <v>2024</v>
      </c>
      <c r="B346" s="14" t="s">
        <v>36</v>
      </c>
      <c r="C346" s="14" t="s">
        <v>34</v>
      </c>
      <c r="D346" s="14" t="s">
        <v>24</v>
      </c>
      <c r="E346" s="15">
        <v>37683</v>
      </c>
      <c r="F346" s="16">
        <v>25975311.579999998</v>
      </c>
      <c r="G346" s="14">
        <v>6.15</v>
      </c>
      <c r="H346" s="14">
        <v>87.83</v>
      </c>
      <c r="I346" s="14">
        <v>29.56</v>
      </c>
      <c r="J346" s="14">
        <v>270.57</v>
      </c>
      <c r="K346" s="14">
        <v>63.33</v>
      </c>
      <c r="L346" s="17" t="s">
        <v>27</v>
      </c>
    </row>
    <row r="347" spans="1:12" x14ac:dyDescent="0.35">
      <c r="A347" s="8">
        <v>2024</v>
      </c>
      <c r="B347" s="9" t="s">
        <v>37</v>
      </c>
      <c r="C347" s="9" t="s">
        <v>13</v>
      </c>
      <c r="D347" s="9" t="s">
        <v>14</v>
      </c>
      <c r="E347" s="10">
        <v>9805</v>
      </c>
      <c r="F347" s="11">
        <v>4494602.4929999998</v>
      </c>
      <c r="G347" s="9">
        <v>0.27</v>
      </c>
      <c r="H347" s="9">
        <v>59.49</v>
      </c>
      <c r="I347" s="9">
        <v>16.98</v>
      </c>
      <c r="J347" s="9">
        <v>203.22</v>
      </c>
      <c r="K347" s="9">
        <v>57.32</v>
      </c>
      <c r="L347" s="12" t="s">
        <v>19</v>
      </c>
    </row>
    <row r="348" spans="1:12" x14ac:dyDescent="0.35">
      <c r="A348" s="13">
        <v>2024</v>
      </c>
      <c r="B348" s="14" t="s">
        <v>37</v>
      </c>
      <c r="C348" s="14" t="s">
        <v>16</v>
      </c>
      <c r="D348" s="14" t="s">
        <v>14</v>
      </c>
      <c r="E348" s="15">
        <v>39017</v>
      </c>
      <c r="F348" s="16">
        <v>15031174.35</v>
      </c>
      <c r="G348" s="14">
        <v>1.95</v>
      </c>
      <c r="H348" s="14">
        <v>50.4</v>
      </c>
      <c r="I348" s="14">
        <v>25.44</v>
      </c>
      <c r="J348" s="14">
        <v>268.60000000000002</v>
      </c>
      <c r="K348" s="14">
        <v>38.07</v>
      </c>
      <c r="L348" s="17" t="s">
        <v>15</v>
      </c>
    </row>
    <row r="349" spans="1:12" x14ac:dyDescent="0.35">
      <c r="A349" s="8">
        <v>2024</v>
      </c>
      <c r="B349" s="9" t="s">
        <v>37</v>
      </c>
      <c r="C349" s="9" t="s">
        <v>18</v>
      </c>
      <c r="D349" s="9" t="s">
        <v>14</v>
      </c>
      <c r="E349" s="10">
        <v>7534</v>
      </c>
      <c r="F349" s="11">
        <v>29771391.219999999</v>
      </c>
      <c r="G349" s="9">
        <v>3.55</v>
      </c>
      <c r="H349" s="9">
        <v>47.5</v>
      </c>
      <c r="I349" s="9">
        <v>12.56</v>
      </c>
      <c r="J349" s="9">
        <v>51.73</v>
      </c>
      <c r="K349" s="9">
        <v>74.44</v>
      </c>
      <c r="L349" s="12" t="s">
        <v>27</v>
      </c>
    </row>
    <row r="350" spans="1:12" x14ac:dyDescent="0.35">
      <c r="A350" s="13">
        <v>2024</v>
      </c>
      <c r="B350" s="14" t="s">
        <v>37</v>
      </c>
      <c r="C350" s="14" t="s">
        <v>20</v>
      </c>
      <c r="D350" s="14" t="s">
        <v>14</v>
      </c>
      <c r="E350" s="15">
        <v>42266</v>
      </c>
      <c r="F350" s="16">
        <v>23557754.829999998</v>
      </c>
      <c r="G350" s="14">
        <v>0.34</v>
      </c>
      <c r="H350" s="14">
        <v>86.28</v>
      </c>
      <c r="I350" s="14">
        <v>26.49</v>
      </c>
      <c r="J350" s="14">
        <v>294.81</v>
      </c>
      <c r="K350" s="14">
        <v>51.79</v>
      </c>
      <c r="L350" s="17" t="s">
        <v>17</v>
      </c>
    </row>
    <row r="351" spans="1:12" x14ac:dyDescent="0.35">
      <c r="A351" s="8">
        <v>2024</v>
      </c>
      <c r="B351" s="9" t="s">
        <v>37</v>
      </c>
      <c r="C351" s="9" t="s">
        <v>22</v>
      </c>
      <c r="D351" s="9" t="s">
        <v>14</v>
      </c>
      <c r="E351" s="10">
        <v>28852</v>
      </c>
      <c r="F351" s="11">
        <v>14365866.470000001</v>
      </c>
      <c r="G351" s="9">
        <v>0.22999999999999901</v>
      </c>
      <c r="H351" s="9">
        <v>46.1</v>
      </c>
      <c r="I351" s="9">
        <v>3.47</v>
      </c>
      <c r="J351" s="9">
        <v>194.32</v>
      </c>
      <c r="K351" s="9">
        <v>86.51</v>
      </c>
      <c r="L351" s="12" t="s">
        <v>19</v>
      </c>
    </row>
    <row r="352" spans="1:12" x14ac:dyDescent="0.35">
      <c r="A352" s="13">
        <v>2024</v>
      </c>
      <c r="B352" s="14" t="s">
        <v>37</v>
      </c>
      <c r="C352" s="14" t="s">
        <v>23</v>
      </c>
      <c r="D352" s="14" t="s">
        <v>24</v>
      </c>
      <c r="E352" s="15">
        <v>25724</v>
      </c>
      <c r="F352" s="16">
        <v>57565236.579999998</v>
      </c>
      <c r="G352" s="14">
        <v>5.68</v>
      </c>
      <c r="H352" s="14">
        <v>69.979999999999905</v>
      </c>
      <c r="I352" s="14">
        <v>34.17</v>
      </c>
      <c r="J352" s="14">
        <v>231.5</v>
      </c>
      <c r="K352" s="14">
        <v>84.08</v>
      </c>
      <c r="L352" s="17" t="s">
        <v>17</v>
      </c>
    </row>
    <row r="353" spans="1:12" x14ac:dyDescent="0.35">
      <c r="A353" s="8">
        <v>2024</v>
      </c>
      <c r="B353" s="9" t="s">
        <v>37</v>
      </c>
      <c r="C353" s="9" t="s">
        <v>25</v>
      </c>
      <c r="D353" s="9" t="s">
        <v>24</v>
      </c>
      <c r="E353" s="10">
        <v>10554</v>
      </c>
      <c r="F353" s="11">
        <v>21897425.739999998</v>
      </c>
      <c r="G353" s="9">
        <v>5.35</v>
      </c>
      <c r="H353" s="9">
        <v>41.87</v>
      </c>
      <c r="I353" s="9">
        <v>19.649999999999999</v>
      </c>
      <c r="J353" s="9">
        <v>187.87</v>
      </c>
      <c r="K353" s="9">
        <v>87.11</v>
      </c>
      <c r="L353" s="12" t="s">
        <v>15</v>
      </c>
    </row>
    <row r="354" spans="1:12" x14ac:dyDescent="0.35">
      <c r="A354" s="13">
        <v>2024</v>
      </c>
      <c r="B354" s="14" t="s">
        <v>37</v>
      </c>
      <c r="C354" s="14" t="s">
        <v>26</v>
      </c>
      <c r="D354" s="14" t="s">
        <v>24</v>
      </c>
      <c r="E354" s="15">
        <v>63966</v>
      </c>
      <c r="F354" s="16">
        <v>35148376</v>
      </c>
      <c r="G354" s="14">
        <v>3.86</v>
      </c>
      <c r="H354" s="14">
        <v>68.180000000000007</v>
      </c>
      <c r="I354" s="14">
        <v>37.299999999999997</v>
      </c>
      <c r="J354" s="14">
        <v>171.35</v>
      </c>
      <c r="K354" s="14">
        <v>81.11</v>
      </c>
      <c r="L354" s="17" t="s">
        <v>21</v>
      </c>
    </row>
    <row r="355" spans="1:12" x14ac:dyDescent="0.35">
      <c r="A355" s="8">
        <v>2024</v>
      </c>
      <c r="B355" s="9" t="s">
        <v>37</v>
      </c>
      <c r="C355" s="9" t="s">
        <v>28</v>
      </c>
      <c r="D355" s="9" t="s">
        <v>24</v>
      </c>
      <c r="E355" s="10">
        <v>50336</v>
      </c>
      <c r="F355" s="11">
        <v>24239867.16</v>
      </c>
      <c r="G355" s="9">
        <v>4.0599999999999996</v>
      </c>
      <c r="H355" s="9">
        <v>44.48</v>
      </c>
      <c r="I355" s="9">
        <v>16.75</v>
      </c>
      <c r="J355" s="9">
        <v>205.63</v>
      </c>
      <c r="K355" s="9">
        <v>73.459999999999994</v>
      </c>
      <c r="L355" s="12" t="s">
        <v>19</v>
      </c>
    </row>
    <row r="356" spans="1:12" x14ac:dyDescent="0.35">
      <c r="A356" s="13">
        <v>2024</v>
      </c>
      <c r="B356" s="14" t="s">
        <v>37</v>
      </c>
      <c r="C356" s="14" t="s">
        <v>29</v>
      </c>
      <c r="D356" s="14" t="s">
        <v>24</v>
      </c>
      <c r="E356" s="15">
        <v>35834</v>
      </c>
      <c r="F356" s="16">
        <v>8672653.0079999994</v>
      </c>
      <c r="G356" s="14">
        <v>3.47</v>
      </c>
      <c r="H356" s="14">
        <v>79.11</v>
      </c>
      <c r="I356" s="14">
        <v>20.48</v>
      </c>
      <c r="J356" s="14">
        <v>97.86</v>
      </c>
      <c r="K356" s="14">
        <v>49</v>
      </c>
      <c r="L356" s="17" t="s">
        <v>19</v>
      </c>
    </row>
    <row r="357" spans="1:12" x14ac:dyDescent="0.35">
      <c r="A357" s="8">
        <v>2024</v>
      </c>
      <c r="B357" s="9" t="s">
        <v>37</v>
      </c>
      <c r="C357" s="9" t="s">
        <v>30</v>
      </c>
      <c r="D357" s="9" t="s">
        <v>24</v>
      </c>
      <c r="E357" s="10">
        <v>28368</v>
      </c>
      <c r="F357" s="11">
        <v>17639255.890000001</v>
      </c>
      <c r="G357" s="9">
        <v>5.79</v>
      </c>
      <c r="H357" s="9">
        <v>47.78</v>
      </c>
      <c r="I357" s="9">
        <v>35.700000000000003</v>
      </c>
      <c r="J357" s="9">
        <v>99.55</v>
      </c>
      <c r="K357" s="9">
        <v>92.85</v>
      </c>
      <c r="L357" s="12" t="s">
        <v>27</v>
      </c>
    </row>
    <row r="358" spans="1:12" x14ac:dyDescent="0.35">
      <c r="A358" s="13">
        <v>2024</v>
      </c>
      <c r="B358" s="14" t="s">
        <v>37</v>
      </c>
      <c r="C358" s="14" t="s">
        <v>31</v>
      </c>
      <c r="D358" s="14" t="s">
        <v>24</v>
      </c>
      <c r="E358" s="15">
        <v>31313</v>
      </c>
      <c r="F358" s="16">
        <v>33616387.43</v>
      </c>
      <c r="G358" s="14">
        <v>6.7</v>
      </c>
      <c r="H358" s="14">
        <v>59.12</v>
      </c>
      <c r="I358" s="14">
        <v>51.35</v>
      </c>
      <c r="J358" s="14">
        <v>229.94</v>
      </c>
      <c r="K358" s="14">
        <v>66.099999999999994</v>
      </c>
      <c r="L358" s="17" t="s">
        <v>21</v>
      </c>
    </row>
    <row r="359" spans="1:12" x14ac:dyDescent="0.35">
      <c r="A359" s="8">
        <v>2024</v>
      </c>
      <c r="B359" s="9" t="s">
        <v>37</v>
      </c>
      <c r="C359" s="9" t="s">
        <v>32</v>
      </c>
      <c r="D359" s="9" t="s">
        <v>24</v>
      </c>
      <c r="E359" s="10">
        <v>10175</v>
      </c>
      <c r="F359" s="11">
        <v>31584423.949999999</v>
      </c>
      <c r="G359" s="9">
        <v>6.39</v>
      </c>
      <c r="H359" s="9">
        <v>86.4</v>
      </c>
      <c r="I359" s="9">
        <v>6.87</v>
      </c>
      <c r="J359" s="9">
        <v>170.92</v>
      </c>
      <c r="K359" s="9">
        <v>87.54</v>
      </c>
      <c r="L359" s="12" t="s">
        <v>15</v>
      </c>
    </row>
    <row r="360" spans="1:12" x14ac:dyDescent="0.35">
      <c r="A360" s="13">
        <v>2024</v>
      </c>
      <c r="B360" s="14" t="s">
        <v>37</v>
      </c>
      <c r="C360" s="14" t="s">
        <v>33</v>
      </c>
      <c r="D360" s="14" t="s">
        <v>24</v>
      </c>
      <c r="E360" s="15">
        <v>27459</v>
      </c>
      <c r="F360" s="16">
        <v>48297091.175999902</v>
      </c>
      <c r="G360" s="14">
        <v>2.65</v>
      </c>
      <c r="H360" s="14">
        <v>73.66</v>
      </c>
      <c r="I360" s="14">
        <v>17.95</v>
      </c>
      <c r="J360" s="14">
        <v>186.37</v>
      </c>
      <c r="K360" s="14">
        <v>92.94</v>
      </c>
      <c r="L360" s="17" t="s">
        <v>21</v>
      </c>
    </row>
    <row r="361" spans="1:12" x14ac:dyDescent="0.35">
      <c r="A361" s="8">
        <v>2024</v>
      </c>
      <c r="B361" s="9" t="s">
        <v>37</v>
      </c>
      <c r="C361" s="9" t="s">
        <v>34</v>
      </c>
      <c r="D361" s="9" t="s">
        <v>24</v>
      </c>
      <c r="E361" s="10">
        <v>23576</v>
      </c>
      <c r="F361" s="11">
        <v>7378715.04</v>
      </c>
      <c r="G361" s="9">
        <v>4.9400000000000004</v>
      </c>
      <c r="H361" s="9">
        <v>92.65</v>
      </c>
      <c r="I361" s="9">
        <v>27.65</v>
      </c>
      <c r="J361" s="9">
        <v>261.8</v>
      </c>
      <c r="K361" s="9">
        <v>75.180000000000007</v>
      </c>
      <c r="L361" s="12" t="s">
        <v>15</v>
      </c>
    </row>
    <row r="362" spans="1:12" x14ac:dyDescent="0.35">
      <c r="E362"/>
      <c r="F362"/>
    </row>
    <row r="363" spans="1:12" x14ac:dyDescent="0.35">
      <c r="E363"/>
      <c r="F363"/>
    </row>
    <row r="364" spans="1:12" x14ac:dyDescent="0.35">
      <c r="E364"/>
      <c r="F364"/>
    </row>
    <row r="365" spans="1:12" x14ac:dyDescent="0.35">
      <c r="E365"/>
      <c r="F365"/>
    </row>
    <row r="366" spans="1:12" x14ac:dyDescent="0.35">
      <c r="E366"/>
      <c r="F366"/>
    </row>
    <row r="367" spans="1:12" x14ac:dyDescent="0.35">
      <c r="E367"/>
      <c r="F367"/>
    </row>
    <row r="368" spans="1:12" x14ac:dyDescent="0.35">
      <c r="E368"/>
      <c r="F368"/>
    </row>
    <row r="369" spans="5:6" x14ac:dyDescent="0.35">
      <c r="E369"/>
      <c r="F369"/>
    </row>
    <row r="370" spans="5:6" x14ac:dyDescent="0.35">
      <c r="E370"/>
      <c r="F370"/>
    </row>
    <row r="371" spans="5:6" x14ac:dyDescent="0.35">
      <c r="E371"/>
      <c r="F371"/>
    </row>
    <row r="372" spans="5:6" x14ac:dyDescent="0.35">
      <c r="E372"/>
      <c r="F372"/>
    </row>
    <row r="373" spans="5:6" x14ac:dyDescent="0.35">
      <c r="E373"/>
      <c r="F373"/>
    </row>
    <row r="374" spans="5:6" x14ac:dyDescent="0.35">
      <c r="E374"/>
      <c r="F374"/>
    </row>
    <row r="375" spans="5:6" x14ac:dyDescent="0.35">
      <c r="E375"/>
      <c r="F375"/>
    </row>
    <row r="376" spans="5:6" x14ac:dyDescent="0.35">
      <c r="E376"/>
      <c r="F376"/>
    </row>
    <row r="377" spans="5:6" x14ac:dyDescent="0.35">
      <c r="E377"/>
      <c r="F377"/>
    </row>
    <row r="378" spans="5:6" x14ac:dyDescent="0.35">
      <c r="E378"/>
      <c r="F378"/>
    </row>
    <row r="379" spans="5:6" x14ac:dyDescent="0.35">
      <c r="E379"/>
      <c r="F379"/>
    </row>
    <row r="380" spans="5:6" x14ac:dyDescent="0.35">
      <c r="E380"/>
      <c r="F380"/>
    </row>
    <row r="381" spans="5:6" x14ac:dyDescent="0.35">
      <c r="E381"/>
      <c r="F381"/>
    </row>
    <row r="382" spans="5:6" x14ac:dyDescent="0.35">
      <c r="E382"/>
      <c r="F382"/>
    </row>
    <row r="383" spans="5:6" x14ac:dyDescent="0.35">
      <c r="E383"/>
      <c r="F383"/>
    </row>
    <row r="384" spans="5:6" x14ac:dyDescent="0.35">
      <c r="E384"/>
      <c r="F384"/>
    </row>
    <row r="385" spans="5:6" x14ac:dyDescent="0.35">
      <c r="E385"/>
      <c r="F385"/>
    </row>
    <row r="386" spans="5:6" x14ac:dyDescent="0.35">
      <c r="E386"/>
      <c r="F386"/>
    </row>
    <row r="387" spans="5:6" x14ac:dyDescent="0.35">
      <c r="E387"/>
      <c r="F387"/>
    </row>
    <row r="388" spans="5:6" x14ac:dyDescent="0.35">
      <c r="E388"/>
      <c r="F388"/>
    </row>
    <row r="389" spans="5:6" x14ac:dyDescent="0.35">
      <c r="E389"/>
      <c r="F389"/>
    </row>
    <row r="390" spans="5:6" x14ac:dyDescent="0.35">
      <c r="E390"/>
      <c r="F390"/>
    </row>
    <row r="391" spans="5:6" x14ac:dyDescent="0.35">
      <c r="E391"/>
      <c r="F391"/>
    </row>
    <row r="392" spans="5:6" x14ac:dyDescent="0.35">
      <c r="E392"/>
      <c r="F392"/>
    </row>
    <row r="393" spans="5:6" x14ac:dyDescent="0.35">
      <c r="E393"/>
      <c r="F393"/>
    </row>
    <row r="394" spans="5:6" x14ac:dyDescent="0.35">
      <c r="E394"/>
      <c r="F394"/>
    </row>
    <row r="395" spans="5:6" x14ac:dyDescent="0.35">
      <c r="E395"/>
      <c r="F395"/>
    </row>
    <row r="396" spans="5:6" x14ac:dyDescent="0.35">
      <c r="E396"/>
      <c r="F396"/>
    </row>
    <row r="397" spans="5:6" x14ac:dyDescent="0.35">
      <c r="E397"/>
      <c r="F397"/>
    </row>
    <row r="398" spans="5:6" x14ac:dyDescent="0.35">
      <c r="E398"/>
      <c r="F398"/>
    </row>
    <row r="399" spans="5:6" x14ac:dyDescent="0.35">
      <c r="E399"/>
      <c r="F399"/>
    </row>
    <row r="400" spans="5:6" x14ac:dyDescent="0.35">
      <c r="E400"/>
      <c r="F400"/>
    </row>
    <row r="401" spans="5:6" x14ac:dyDescent="0.35">
      <c r="E401"/>
      <c r="F401"/>
    </row>
    <row r="402" spans="5:6" x14ac:dyDescent="0.35">
      <c r="E402"/>
      <c r="F402"/>
    </row>
    <row r="403" spans="5:6" x14ac:dyDescent="0.35">
      <c r="E403"/>
      <c r="F403"/>
    </row>
    <row r="404" spans="5:6" x14ac:dyDescent="0.35">
      <c r="E404"/>
      <c r="F404"/>
    </row>
    <row r="405" spans="5:6" x14ac:dyDescent="0.35">
      <c r="E405"/>
      <c r="F405"/>
    </row>
    <row r="406" spans="5:6" x14ac:dyDescent="0.35">
      <c r="E406"/>
      <c r="F406"/>
    </row>
    <row r="407" spans="5:6" x14ac:dyDescent="0.35">
      <c r="E407"/>
      <c r="F407"/>
    </row>
    <row r="408" spans="5:6" x14ac:dyDescent="0.35">
      <c r="E408"/>
      <c r="F408"/>
    </row>
    <row r="409" spans="5:6" x14ac:dyDescent="0.35">
      <c r="E409"/>
      <c r="F409"/>
    </row>
    <row r="410" spans="5:6" x14ac:dyDescent="0.35">
      <c r="E410"/>
      <c r="F410"/>
    </row>
    <row r="411" spans="5:6" x14ac:dyDescent="0.35">
      <c r="E411"/>
      <c r="F411"/>
    </row>
    <row r="412" spans="5:6" x14ac:dyDescent="0.35">
      <c r="E412"/>
      <c r="F412"/>
    </row>
    <row r="413" spans="5:6" x14ac:dyDescent="0.35">
      <c r="E413"/>
      <c r="F413"/>
    </row>
    <row r="414" spans="5:6" x14ac:dyDescent="0.35">
      <c r="E414"/>
      <c r="F414"/>
    </row>
    <row r="415" spans="5:6" x14ac:dyDescent="0.35">
      <c r="E415"/>
      <c r="F415"/>
    </row>
    <row r="416" spans="5:6" x14ac:dyDescent="0.35">
      <c r="E416"/>
      <c r="F416"/>
    </row>
    <row r="417" spans="5:6" x14ac:dyDescent="0.35">
      <c r="E417"/>
      <c r="F417"/>
    </row>
    <row r="418" spans="5:6" x14ac:dyDescent="0.35">
      <c r="E418"/>
      <c r="F418"/>
    </row>
    <row r="419" spans="5:6" x14ac:dyDescent="0.35">
      <c r="E419"/>
      <c r="F419"/>
    </row>
    <row r="420" spans="5:6" x14ac:dyDescent="0.35">
      <c r="E420"/>
      <c r="F420"/>
    </row>
    <row r="421" spans="5:6" x14ac:dyDescent="0.35">
      <c r="E421"/>
      <c r="F421"/>
    </row>
    <row r="422" spans="5:6" x14ac:dyDescent="0.35">
      <c r="E422"/>
      <c r="F422"/>
    </row>
    <row r="423" spans="5:6" x14ac:dyDescent="0.35">
      <c r="E423"/>
      <c r="F423"/>
    </row>
    <row r="424" spans="5:6" x14ac:dyDescent="0.35">
      <c r="E424"/>
      <c r="F424"/>
    </row>
    <row r="425" spans="5:6" x14ac:dyDescent="0.35">
      <c r="E425"/>
      <c r="F425"/>
    </row>
    <row r="426" spans="5:6" x14ac:dyDescent="0.35">
      <c r="E426"/>
      <c r="F426"/>
    </row>
    <row r="427" spans="5:6" x14ac:dyDescent="0.35">
      <c r="E427"/>
      <c r="F427"/>
    </row>
    <row r="428" spans="5:6" x14ac:dyDescent="0.35">
      <c r="E428"/>
      <c r="F428"/>
    </row>
    <row r="429" spans="5:6" x14ac:dyDescent="0.35">
      <c r="E429"/>
      <c r="F429"/>
    </row>
    <row r="430" spans="5:6" x14ac:dyDescent="0.35">
      <c r="E430"/>
      <c r="F430"/>
    </row>
    <row r="431" spans="5:6" x14ac:dyDescent="0.35">
      <c r="E431"/>
      <c r="F431"/>
    </row>
    <row r="432" spans="5:6" x14ac:dyDescent="0.35">
      <c r="E432"/>
      <c r="F432"/>
    </row>
    <row r="433" spans="5:6" x14ac:dyDescent="0.35">
      <c r="E433"/>
      <c r="F433"/>
    </row>
    <row r="434" spans="5:6" x14ac:dyDescent="0.35">
      <c r="E434"/>
      <c r="F434"/>
    </row>
    <row r="435" spans="5:6" x14ac:dyDescent="0.35">
      <c r="E435"/>
      <c r="F435"/>
    </row>
    <row r="436" spans="5:6" x14ac:dyDescent="0.35">
      <c r="E436"/>
      <c r="F436"/>
    </row>
    <row r="437" spans="5:6" x14ac:dyDescent="0.35">
      <c r="E437"/>
      <c r="F437"/>
    </row>
    <row r="438" spans="5:6" x14ac:dyDescent="0.35">
      <c r="E438"/>
      <c r="F438"/>
    </row>
    <row r="439" spans="5:6" x14ac:dyDescent="0.35">
      <c r="E439"/>
      <c r="F439"/>
    </row>
    <row r="440" spans="5:6" x14ac:dyDescent="0.35">
      <c r="E440"/>
      <c r="F440"/>
    </row>
    <row r="441" spans="5:6" x14ac:dyDescent="0.35">
      <c r="E441"/>
      <c r="F441"/>
    </row>
    <row r="442" spans="5:6" x14ac:dyDescent="0.35">
      <c r="E442"/>
      <c r="F442"/>
    </row>
    <row r="443" spans="5:6" x14ac:dyDescent="0.35">
      <c r="E443"/>
      <c r="F443"/>
    </row>
    <row r="444" spans="5:6" x14ac:dyDescent="0.35">
      <c r="E444"/>
      <c r="F444"/>
    </row>
    <row r="445" spans="5:6" x14ac:dyDescent="0.35">
      <c r="E445"/>
      <c r="F445"/>
    </row>
    <row r="446" spans="5:6" x14ac:dyDescent="0.35">
      <c r="E446"/>
      <c r="F446"/>
    </row>
    <row r="447" spans="5:6" x14ac:dyDescent="0.35">
      <c r="E447"/>
      <c r="F447"/>
    </row>
    <row r="448" spans="5:6" x14ac:dyDescent="0.35">
      <c r="E448"/>
      <c r="F448"/>
    </row>
    <row r="449" spans="5:6" x14ac:dyDescent="0.35">
      <c r="E449"/>
      <c r="F449"/>
    </row>
    <row r="450" spans="5:6" x14ac:dyDescent="0.35">
      <c r="E450"/>
      <c r="F450"/>
    </row>
    <row r="451" spans="5:6" x14ac:dyDescent="0.35">
      <c r="E451"/>
      <c r="F451"/>
    </row>
    <row r="452" spans="5:6" x14ac:dyDescent="0.35">
      <c r="E452"/>
      <c r="F452"/>
    </row>
    <row r="453" spans="5:6" x14ac:dyDescent="0.35">
      <c r="E453"/>
      <c r="F453"/>
    </row>
    <row r="454" spans="5:6" x14ac:dyDescent="0.35">
      <c r="E454"/>
      <c r="F454"/>
    </row>
    <row r="455" spans="5:6" x14ac:dyDescent="0.35">
      <c r="E455"/>
      <c r="F455"/>
    </row>
    <row r="456" spans="5:6" x14ac:dyDescent="0.35">
      <c r="E456"/>
      <c r="F456"/>
    </row>
    <row r="457" spans="5:6" x14ac:dyDescent="0.35">
      <c r="E457"/>
      <c r="F457"/>
    </row>
    <row r="458" spans="5:6" x14ac:dyDescent="0.35">
      <c r="E458"/>
      <c r="F458"/>
    </row>
    <row r="459" spans="5:6" x14ac:dyDescent="0.35">
      <c r="E459"/>
      <c r="F459"/>
    </row>
    <row r="460" spans="5:6" x14ac:dyDescent="0.35">
      <c r="E460"/>
      <c r="F460"/>
    </row>
    <row r="461" spans="5:6" x14ac:dyDescent="0.35">
      <c r="E461"/>
      <c r="F461"/>
    </row>
    <row r="462" spans="5:6" x14ac:dyDescent="0.35">
      <c r="E462"/>
      <c r="F462"/>
    </row>
    <row r="463" spans="5:6" x14ac:dyDescent="0.35">
      <c r="E463"/>
      <c r="F463"/>
    </row>
    <row r="464" spans="5:6" x14ac:dyDescent="0.35">
      <c r="E464"/>
      <c r="F464"/>
    </row>
    <row r="465" spans="5:6" x14ac:dyDescent="0.35">
      <c r="E465"/>
      <c r="F465"/>
    </row>
    <row r="466" spans="5:6" x14ac:dyDescent="0.35">
      <c r="E466"/>
      <c r="F466"/>
    </row>
    <row r="467" spans="5:6" x14ac:dyDescent="0.35">
      <c r="E467"/>
      <c r="F467"/>
    </row>
    <row r="468" spans="5:6" x14ac:dyDescent="0.35">
      <c r="E468"/>
      <c r="F468"/>
    </row>
    <row r="469" spans="5:6" x14ac:dyDescent="0.35">
      <c r="E469"/>
      <c r="F469"/>
    </row>
    <row r="470" spans="5:6" x14ac:dyDescent="0.35">
      <c r="E470"/>
      <c r="F470"/>
    </row>
    <row r="471" spans="5:6" x14ac:dyDescent="0.35">
      <c r="E471"/>
      <c r="F471"/>
    </row>
    <row r="472" spans="5:6" x14ac:dyDescent="0.35">
      <c r="E472"/>
      <c r="F472"/>
    </row>
    <row r="473" spans="5:6" x14ac:dyDescent="0.35">
      <c r="E473"/>
      <c r="F473"/>
    </row>
    <row r="474" spans="5:6" x14ac:dyDescent="0.35">
      <c r="E474"/>
      <c r="F474"/>
    </row>
    <row r="475" spans="5:6" x14ac:dyDescent="0.35">
      <c r="E475"/>
      <c r="F475"/>
    </row>
    <row r="476" spans="5:6" x14ac:dyDescent="0.35">
      <c r="E476"/>
      <c r="F476"/>
    </row>
    <row r="477" spans="5:6" x14ac:dyDescent="0.35">
      <c r="E477"/>
      <c r="F477"/>
    </row>
    <row r="478" spans="5:6" x14ac:dyDescent="0.35">
      <c r="E478"/>
      <c r="F478"/>
    </row>
    <row r="479" spans="5:6" x14ac:dyDescent="0.35">
      <c r="E479"/>
      <c r="F479"/>
    </row>
    <row r="480" spans="5:6" x14ac:dyDescent="0.35">
      <c r="E480"/>
      <c r="F480"/>
    </row>
    <row r="481" spans="5:6" x14ac:dyDescent="0.35">
      <c r="E481"/>
      <c r="F481"/>
    </row>
    <row r="482" spans="5:6" x14ac:dyDescent="0.35">
      <c r="E482"/>
      <c r="F482"/>
    </row>
    <row r="483" spans="5:6" x14ac:dyDescent="0.35">
      <c r="E483"/>
      <c r="F483"/>
    </row>
    <row r="484" spans="5:6" x14ac:dyDescent="0.35">
      <c r="E484"/>
      <c r="F484"/>
    </row>
    <row r="485" spans="5:6" x14ac:dyDescent="0.35">
      <c r="E485"/>
      <c r="F485"/>
    </row>
    <row r="486" spans="5:6" x14ac:dyDescent="0.35">
      <c r="E486"/>
      <c r="F486"/>
    </row>
    <row r="487" spans="5:6" x14ac:dyDescent="0.35">
      <c r="E487"/>
      <c r="F487"/>
    </row>
    <row r="488" spans="5:6" x14ac:dyDescent="0.35">
      <c r="E488"/>
      <c r="F488"/>
    </row>
    <row r="489" spans="5:6" x14ac:dyDescent="0.35">
      <c r="E489"/>
      <c r="F489"/>
    </row>
    <row r="490" spans="5:6" x14ac:dyDescent="0.35">
      <c r="E490"/>
      <c r="F490"/>
    </row>
    <row r="491" spans="5:6" x14ac:dyDescent="0.35">
      <c r="E491"/>
      <c r="F491"/>
    </row>
    <row r="492" spans="5:6" x14ac:dyDescent="0.35">
      <c r="E492"/>
      <c r="F492"/>
    </row>
    <row r="493" spans="5:6" x14ac:dyDescent="0.35">
      <c r="E493"/>
      <c r="F493"/>
    </row>
    <row r="494" spans="5:6" x14ac:dyDescent="0.35">
      <c r="E494"/>
      <c r="F494"/>
    </row>
    <row r="495" spans="5:6" x14ac:dyDescent="0.35">
      <c r="E495"/>
      <c r="F495"/>
    </row>
    <row r="496" spans="5:6" x14ac:dyDescent="0.35">
      <c r="E496"/>
      <c r="F496"/>
    </row>
    <row r="497" spans="5:6" x14ac:dyDescent="0.35">
      <c r="E497"/>
      <c r="F497"/>
    </row>
    <row r="498" spans="5:6" x14ac:dyDescent="0.35">
      <c r="E498"/>
      <c r="F498"/>
    </row>
    <row r="499" spans="5:6" x14ac:dyDescent="0.35">
      <c r="E499"/>
      <c r="F499"/>
    </row>
    <row r="500" spans="5:6" x14ac:dyDescent="0.35">
      <c r="E500"/>
      <c r="F500"/>
    </row>
    <row r="501" spans="5:6" x14ac:dyDescent="0.35">
      <c r="E501"/>
      <c r="F501"/>
    </row>
    <row r="502" spans="5:6" x14ac:dyDescent="0.35">
      <c r="E502"/>
      <c r="F502"/>
    </row>
    <row r="503" spans="5:6" x14ac:dyDescent="0.35">
      <c r="E503"/>
      <c r="F503"/>
    </row>
    <row r="504" spans="5:6" x14ac:dyDescent="0.35">
      <c r="E504"/>
      <c r="F504"/>
    </row>
    <row r="505" spans="5:6" x14ac:dyDescent="0.35">
      <c r="E505"/>
      <c r="F505"/>
    </row>
    <row r="506" spans="5:6" x14ac:dyDescent="0.35">
      <c r="E506"/>
      <c r="F506"/>
    </row>
    <row r="507" spans="5:6" x14ac:dyDescent="0.35">
      <c r="E507"/>
      <c r="F507"/>
    </row>
    <row r="508" spans="5:6" x14ac:dyDescent="0.35">
      <c r="E508"/>
      <c r="F508"/>
    </row>
    <row r="509" spans="5:6" x14ac:dyDescent="0.35">
      <c r="E509"/>
      <c r="F509"/>
    </row>
    <row r="510" spans="5:6" x14ac:dyDescent="0.35">
      <c r="E510"/>
      <c r="F510"/>
    </row>
    <row r="511" spans="5:6" x14ac:dyDescent="0.35">
      <c r="E511"/>
      <c r="F511"/>
    </row>
    <row r="512" spans="5:6" x14ac:dyDescent="0.35">
      <c r="E512"/>
      <c r="F512"/>
    </row>
    <row r="513" spans="5:6" x14ac:dyDescent="0.35">
      <c r="E513"/>
      <c r="F513"/>
    </row>
    <row r="514" spans="5:6" x14ac:dyDescent="0.35">
      <c r="E514"/>
      <c r="F514"/>
    </row>
    <row r="515" spans="5:6" x14ac:dyDescent="0.35">
      <c r="E515"/>
      <c r="F515"/>
    </row>
    <row r="516" spans="5:6" x14ac:dyDescent="0.35">
      <c r="E516"/>
      <c r="F516"/>
    </row>
    <row r="517" spans="5:6" x14ac:dyDescent="0.35">
      <c r="E517"/>
      <c r="F517"/>
    </row>
    <row r="518" spans="5:6" x14ac:dyDescent="0.35">
      <c r="E518"/>
      <c r="F518"/>
    </row>
    <row r="519" spans="5:6" x14ac:dyDescent="0.35">
      <c r="E519"/>
      <c r="F519"/>
    </row>
    <row r="520" spans="5:6" x14ac:dyDescent="0.35">
      <c r="E520"/>
      <c r="F520"/>
    </row>
    <row r="521" spans="5:6" x14ac:dyDescent="0.35">
      <c r="E521"/>
      <c r="F521"/>
    </row>
    <row r="522" spans="5:6" x14ac:dyDescent="0.35">
      <c r="E522"/>
      <c r="F522"/>
    </row>
    <row r="523" spans="5:6" x14ac:dyDescent="0.35">
      <c r="E523"/>
      <c r="F523"/>
    </row>
    <row r="524" spans="5:6" x14ac:dyDescent="0.35">
      <c r="E524"/>
      <c r="F524"/>
    </row>
    <row r="525" spans="5:6" x14ac:dyDescent="0.35">
      <c r="E525"/>
      <c r="F525"/>
    </row>
    <row r="526" spans="5:6" x14ac:dyDescent="0.35">
      <c r="E526"/>
      <c r="F526"/>
    </row>
    <row r="527" spans="5:6" x14ac:dyDescent="0.35">
      <c r="E527"/>
      <c r="F527"/>
    </row>
    <row r="528" spans="5:6" x14ac:dyDescent="0.35">
      <c r="E528"/>
      <c r="F528"/>
    </row>
    <row r="529" spans="5:6" x14ac:dyDescent="0.35">
      <c r="E529"/>
      <c r="F529"/>
    </row>
    <row r="530" spans="5:6" x14ac:dyDescent="0.35">
      <c r="E530"/>
      <c r="F530"/>
    </row>
    <row r="531" spans="5:6" x14ac:dyDescent="0.35">
      <c r="E531"/>
      <c r="F531"/>
    </row>
    <row r="532" spans="5:6" x14ac:dyDescent="0.35">
      <c r="E532"/>
      <c r="F532"/>
    </row>
    <row r="533" spans="5:6" x14ac:dyDescent="0.35">
      <c r="E533"/>
      <c r="F533"/>
    </row>
    <row r="534" spans="5:6" x14ac:dyDescent="0.35">
      <c r="E534"/>
      <c r="F534"/>
    </row>
    <row r="535" spans="5:6" x14ac:dyDescent="0.35">
      <c r="E535"/>
      <c r="F535"/>
    </row>
    <row r="536" spans="5:6" x14ac:dyDescent="0.35">
      <c r="E536"/>
      <c r="F536"/>
    </row>
    <row r="537" spans="5:6" x14ac:dyDescent="0.35">
      <c r="E537"/>
      <c r="F537"/>
    </row>
    <row r="538" spans="5:6" x14ac:dyDescent="0.35">
      <c r="E538"/>
      <c r="F538"/>
    </row>
    <row r="539" spans="5:6" x14ac:dyDescent="0.35">
      <c r="E539"/>
      <c r="F539"/>
    </row>
    <row r="540" spans="5:6" x14ac:dyDescent="0.35">
      <c r="E540"/>
      <c r="F540"/>
    </row>
    <row r="541" spans="5:6" x14ac:dyDescent="0.35">
      <c r="E541"/>
      <c r="F541"/>
    </row>
    <row r="542" spans="5:6" x14ac:dyDescent="0.35">
      <c r="E542"/>
      <c r="F542"/>
    </row>
    <row r="543" spans="5:6" x14ac:dyDescent="0.35">
      <c r="E543"/>
      <c r="F543"/>
    </row>
    <row r="544" spans="5:6" x14ac:dyDescent="0.35">
      <c r="E544"/>
      <c r="F544"/>
    </row>
    <row r="545" spans="5:6" x14ac:dyDescent="0.35">
      <c r="E545"/>
      <c r="F545"/>
    </row>
    <row r="546" spans="5:6" x14ac:dyDescent="0.35">
      <c r="E546"/>
      <c r="F546"/>
    </row>
    <row r="547" spans="5:6" x14ac:dyDescent="0.35">
      <c r="E547"/>
      <c r="F547"/>
    </row>
    <row r="548" spans="5:6" x14ac:dyDescent="0.35">
      <c r="E548"/>
      <c r="F548"/>
    </row>
    <row r="549" spans="5:6" x14ac:dyDescent="0.35">
      <c r="E549"/>
      <c r="F549"/>
    </row>
    <row r="550" spans="5:6" x14ac:dyDescent="0.35">
      <c r="E550"/>
      <c r="F550"/>
    </row>
    <row r="551" spans="5:6" x14ac:dyDescent="0.35">
      <c r="E551"/>
      <c r="F551"/>
    </row>
    <row r="552" spans="5:6" x14ac:dyDescent="0.35">
      <c r="E552"/>
      <c r="F552"/>
    </row>
    <row r="553" spans="5:6" x14ac:dyDescent="0.35">
      <c r="E553"/>
      <c r="F553"/>
    </row>
    <row r="554" spans="5:6" x14ac:dyDescent="0.35">
      <c r="E554"/>
      <c r="F554"/>
    </row>
    <row r="555" spans="5:6" x14ac:dyDescent="0.35">
      <c r="E555"/>
      <c r="F555"/>
    </row>
    <row r="556" spans="5:6" x14ac:dyDescent="0.35">
      <c r="E556"/>
      <c r="F556"/>
    </row>
    <row r="557" spans="5:6" x14ac:dyDescent="0.35">
      <c r="E557"/>
      <c r="F557"/>
    </row>
    <row r="558" spans="5:6" x14ac:dyDescent="0.35">
      <c r="E558"/>
      <c r="F558"/>
    </row>
    <row r="559" spans="5:6" x14ac:dyDescent="0.35">
      <c r="E559"/>
      <c r="F559"/>
    </row>
    <row r="560" spans="5:6" x14ac:dyDescent="0.35">
      <c r="E560"/>
      <c r="F560"/>
    </row>
    <row r="561" spans="5:6" x14ac:dyDescent="0.35">
      <c r="E561"/>
      <c r="F561"/>
    </row>
    <row r="562" spans="5:6" x14ac:dyDescent="0.35">
      <c r="E562"/>
      <c r="F562"/>
    </row>
    <row r="563" spans="5:6" x14ac:dyDescent="0.35">
      <c r="E563"/>
      <c r="F563"/>
    </row>
    <row r="564" spans="5:6" x14ac:dyDescent="0.35">
      <c r="E564"/>
      <c r="F564"/>
    </row>
    <row r="565" spans="5:6" x14ac:dyDescent="0.35">
      <c r="E565"/>
      <c r="F565"/>
    </row>
    <row r="566" spans="5:6" x14ac:dyDescent="0.35">
      <c r="E566"/>
      <c r="F566"/>
    </row>
    <row r="567" spans="5:6" x14ac:dyDescent="0.35">
      <c r="E567"/>
      <c r="F567"/>
    </row>
    <row r="568" spans="5:6" x14ac:dyDescent="0.35">
      <c r="E568"/>
      <c r="F568"/>
    </row>
    <row r="569" spans="5:6" x14ac:dyDescent="0.35">
      <c r="E569"/>
      <c r="F569"/>
    </row>
    <row r="570" spans="5:6" x14ac:dyDescent="0.35">
      <c r="E570"/>
      <c r="F570"/>
    </row>
    <row r="571" spans="5:6" x14ac:dyDescent="0.35">
      <c r="E571"/>
      <c r="F571"/>
    </row>
    <row r="572" spans="5:6" x14ac:dyDescent="0.35">
      <c r="E572"/>
      <c r="F572"/>
    </row>
    <row r="573" spans="5:6" x14ac:dyDescent="0.35">
      <c r="E573"/>
      <c r="F573"/>
    </row>
    <row r="574" spans="5:6" x14ac:dyDescent="0.35">
      <c r="E574"/>
      <c r="F574"/>
    </row>
    <row r="575" spans="5:6" x14ac:dyDescent="0.35">
      <c r="E575"/>
      <c r="F575"/>
    </row>
    <row r="576" spans="5:6" x14ac:dyDescent="0.35">
      <c r="E576"/>
      <c r="F576"/>
    </row>
    <row r="577" spans="5:6" x14ac:dyDescent="0.35">
      <c r="E577"/>
      <c r="F577"/>
    </row>
    <row r="578" spans="5:6" x14ac:dyDescent="0.35">
      <c r="E578"/>
      <c r="F578"/>
    </row>
    <row r="579" spans="5:6" x14ac:dyDescent="0.35">
      <c r="E579"/>
      <c r="F579"/>
    </row>
    <row r="580" spans="5:6" x14ac:dyDescent="0.35">
      <c r="E580"/>
      <c r="F580"/>
    </row>
    <row r="581" spans="5:6" x14ac:dyDescent="0.35">
      <c r="E581"/>
      <c r="F581"/>
    </row>
    <row r="582" spans="5:6" x14ac:dyDescent="0.35">
      <c r="E582"/>
      <c r="F582"/>
    </row>
    <row r="583" spans="5:6" x14ac:dyDescent="0.35">
      <c r="E583"/>
      <c r="F583"/>
    </row>
    <row r="584" spans="5:6" x14ac:dyDescent="0.35">
      <c r="E584"/>
      <c r="F584"/>
    </row>
    <row r="585" spans="5:6" x14ac:dyDescent="0.35">
      <c r="E585"/>
      <c r="F585"/>
    </row>
    <row r="586" spans="5:6" x14ac:dyDescent="0.35">
      <c r="E586"/>
      <c r="F586"/>
    </row>
    <row r="587" spans="5:6" x14ac:dyDescent="0.35">
      <c r="E587"/>
      <c r="F587"/>
    </row>
    <row r="588" spans="5:6" x14ac:dyDescent="0.35">
      <c r="E588"/>
      <c r="F588"/>
    </row>
    <row r="589" spans="5:6" x14ac:dyDescent="0.35">
      <c r="E589"/>
      <c r="F589"/>
    </row>
    <row r="590" spans="5:6" x14ac:dyDescent="0.35">
      <c r="E590"/>
      <c r="F590"/>
    </row>
    <row r="591" spans="5:6" x14ac:dyDescent="0.35">
      <c r="E591"/>
      <c r="F591"/>
    </row>
    <row r="592" spans="5:6" x14ac:dyDescent="0.35">
      <c r="E592"/>
      <c r="F592"/>
    </row>
    <row r="593" spans="5:6" x14ac:dyDescent="0.35">
      <c r="E593"/>
      <c r="F593"/>
    </row>
    <row r="594" spans="5:6" x14ac:dyDescent="0.35">
      <c r="E594"/>
      <c r="F594"/>
    </row>
    <row r="595" spans="5:6" x14ac:dyDescent="0.35">
      <c r="E595"/>
      <c r="F595"/>
    </row>
    <row r="596" spans="5:6" x14ac:dyDescent="0.35">
      <c r="E596"/>
      <c r="F596"/>
    </row>
    <row r="597" spans="5:6" x14ac:dyDescent="0.35">
      <c r="E597"/>
      <c r="F597"/>
    </row>
    <row r="598" spans="5:6" x14ac:dyDescent="0.35">
      <c r="E598"/>
      <c r="F598"/>
    </row>
    <row r="599" spans="5:6" x14ac:dyDescent="0.35">
      <c r="E599"/>
      <c r="F599"/>
    </row>
    <row r="600" spans="5:6" x14ac:dyDescent="0.35">
      <c r="E600"/>
      <c r="F600"/>
    </row>
    <row r="601" spans="5:6" x14ac:dyDescent="0.35">
      <c r="E601"/>
      <c r="F601"/>
    </row>
    <row r="602" spans="5:6" x14ac:dyDescent="0.35">
      <c r="E602"/>
      <c r="F602"/>
    </row>
    <row r="603" spans="5:6" x14ac:dyDescent="0.35">
      <c r="E603"/>
      <c r="F603"/>
    </row>
    <row r="604" spans="5:6" x14ac:dyDescent="0.35">
      <c r="E604"/>
      <c r="F604"/>
    </row>
    <row r="605" spans="5:6" x14ac:dyDescent="0.35">
      <c r="E605"/>
      <c r="F605"/>
    </row>
    <row r="606" spans="5:6" x14ac:dyDescent="0.35">
      <c r="E606"/>
      <c r="F606"/>
    </row>
    <row r="607" spans="5:6" x14ac:dyDescent="0.35">
      <c r="E607"/>
      <c r="F607"/>
    </row>
    <row r="608" spans="5:6" x14ac:dyDescent="0.35">
      <c r="E608"/>
      <c r="F608"/>
    </row>
    <row r="609" spans="5:6" x14ac:dyDescent="0.35">
      <c r="E609"/>
      <c r="F609"/>
    </row>
    <row r="610" spans="5:6" x14ac:dyDescent="0.35">
      <c r="E610"/>
      <c r="F610"/>
    </row>
    <row r="611" spans="5:6" x14ac:dyDescent="0.35">
      <c r="E611"/>
      <c r="F611"/>
    </row>
    <row r="612" spans="5:6" x14ac:dyDescent="0.35">
      <c r="E612"/>
      <c r="F612"/>
    </row>
    <row r="613" spans="5:6" x14ac:dyDescent="0.35">
      <c r="E613"/>
      <c r="F613"/>
    </row>
    <row r="614" spans="5:6" x14ac:dyDescent="0.35">
      <c r="E614"/>
      <c r="F614"/>
    </row>
    <row r="615" spans="5:6" x14ac:dyDescent="0.35">
      <c r="E615"/>
      <c r="F615"/>
    </row>
    <row r="616" spans="5:6" x14ac:dyDescent="0.35">
      <c r="E616"/>
      <c r="F616"/>
    </row>
    <row r="617" spans="5:6" x14ac:dyDescent="0.35">
      <c r="E617"/>
      <c r="F617"/>
    </row>
    <row r="618" spans="5:6" x14ac:dyDescent="0.35">
      <c r="E618"/>
      <c r="F618"/>
    </row>
    <row r="619" spans="5:6" x14ac:dyDescent="0.35">
      <c r="E619"/>
      <c r="F619"/>
    </row>
    <row r="620" spans="5:6" x14ac:dyDescent="0.35">
      <c r="E620"/>
      <c r="F620"/>
    </row>
    <row r="621" spans="5:6" x14ac:dyDescent="0.35">
      <c r="E621"/>
      <c r="F621"/>
    </row>
    <row r="622" spans="5:6" x14ac:dyDescent="0.35">
      <c r="E622"/>
      <c r="F622"/>
    </row>
    <row r="623" spans="5:6" x14ac:dyDescent="0.35">
      <c r="E623"/>
      <c r="F623"/>
    </row>
    <row r="624" spans="5:6" x14ac:dyDescent="0.35">
      <c r="E624"/>
      <c r="F624"/>
    </row>
    <row r="625" spans="5:6" x14ac:dyDescent="0.35">
      <c r="E625"/>
      <c r="F625"/>
    </row>
    <row r="626" spans="5:6" x14ac:dyDescent="0.35">
      <c r="E626"/>
      <c r="F626"/>
    </row>
    <row r="627" spans="5:6" x14ac:dyDescent="0.35">
      <c r="E627"/>
      <c r="F627"/>
    </row>
    <row r="628" spans="5:6" x14ac:dyDescent="0.35">
      <c r="E628"/>
      <c r="F628"/>
    </row>
    <row r="629" spans="5:6" x14ac:dyDescent="0.35">
      <c r="E629"/>
      <c r="F629"/>
    </row>
    <row r="630" spans="5:6" x14ac:dyDescent="0.35">
      <c r="E630"/>
      <c r="F630"/>
    </row>
    <row r="631" spans="5:6" x14ac:dyDescent="0.35">
      <c r="E631"/>
      <c r="F631"/>
    </row>
    <row r="632" spans="5:6" x14ac:dyDescent="0.35">
      <c r="E632"/>
      <c r="F632"/>
    </row>
    <row r="633" spans="5:6" x14ac:dyDescent="0.35">
      <c r="E633"/>
      <c r="F633"/>
    </row>
    <row r="634" spans="5:6" x14ac:dyDescent="0.35">
      <c r="E634"/>
      <c r="F634"/>
    </row>
    <row r="635" spans="5:6" x14ac:dyDescent="0.35">
      <c r="E635"/>
      <c r="F635"/>
    </row>
    <row r="636" spans="5:6" x14ac:dyDescent="0.35">
      <c r="E636"/>
      <c r="F636"/>
    </row>
    <row r="637" spans="5:6" x14ac:dyDescent="0.35">
      <c r="E637"/>
      <c r="F637"/>
    </row>
    <row r="638" spans="5:6" x14ac:dyDescent="0.35">
      <c r="E638"/>
      <c r="F638"/>
    </row>
    <row r="639" spans="5:6" x14ac:dyDescent="0.35">
      <c r="E639"/>
      <c r="F639"/>
    </row>
    <row r="640" spans="5:6" x14ac:dyDescent="0.35">
      <c r="E640"/>
      <c r="F640"/>
    </row>
    <row r="641" spans="5:6" x14ac:dyDescent="0.35">
      <c r="E641"/>
      <c r="F641"/>
    </row>
    <row r="642" spans="5:6" x14ac:dyDescent="0.35">
      <c r="E642"/>
      <c r="F642"/>
    </row>
    <row r="643" spans="5:6" x14ac:dyDescent="0.35">
      <c r="E643"/>
      <c r="F643"/>
    </row>
    <row r="644" spans="5:6" x14ac:dyDescent="0.35">
      <c r="E644"/>
      <c r="F644"/>
    </row>
    <row r="645" spans="5:6" x14ac:dyDescent="0.35">
      <c r="E645"/>
      <c r="F645"/>
    </row>
    <row r="646" spans="5:6" x14ac:dyDescent="0.35">
      <c r="E646"/>
      <c r="F646"/>
    </row>
    <row r="647" spans="5:6" x14ac:dyDescent="0.35">
      <c r="E647"/>
      <c r="F647"/>
    </row>
    <row r="648" spans="5:6" x14ac:dyDescent="0.35">
      <c r="E648"/>
      <c r="F648"/>
    </row>
    <row r="649" spans="5:6" x14ac:dyDescent="0.35">
      <c r="E649"/>
      <c r="F649"/>
    </row>
    <row r="650" spans="5:6" x14ac:dyDescent="0.35">
      <c r="E650"/>
      <c r="F650"/>
    </row>
    <row r="651" spans="5:6" x14ac:dyDescent="0.35">
      <c r="E651"/>
      <c r="F651"/>
    </row>
    <row r="652" spans="5:6" x14ac:dyDescent="0.35">
      <c r="E652"/>
      <c r="F652"/>
    </row>
    <row r="653" spans="5:6" x14ac:dyDescent="0.35">
      <c r="E653"/>
      <c r="F653"/>
    </row>
    <row r="654" spans="5:6" x14ac:dyDescent="0.35">
      <c r="E654"/>
      <c r="F654"/>
    </row>
    <row r="655" spans="5:6" x14ac:dyDescent="0.35">
      <c r="E655"/>
      <c r="F655"/>
    </row>
    <row r="656" spans="5:6" x14ac:dyDescent="0.35">
      <c r="E656"/>
      <c r="F656"/>
    </row>
    <row r="657" spans="5:6" x14ac:dyDescent="0.35">
      <c r="E657"/>
      <c r="F657"/>
    </row>
    <row r="658" spans="5:6" x14ac:dyDescent="0.35">
      <c r="E658"/>
      <c r="F658"/>
    </row>
    <row r="659" spans="5:6" x14ac:dyDescent="0.35">
      <c r="E659"/>
      <c r="F659"/>
    </row>
    <row r="660" spans="5:6" x14ac:dyDescent="0.35">
      <c r="E660"/>
      <c r="F660"/>
    </row>
    <row r="661" spans="5:6" x14ac:dyDescent="0.35">
      <c r="E661"/>
      <c r="F661"/>
    </row>
    <row r="662" spans="5:6" x14ac:dyDescent="0.35">
      <c r="E662"/>
      <c r="F662"/>
    </row>
    <row r="663" spans="5:6" x14ac:dyDescent="0.35">
      <c r="E663"/>
      <c r="F663"/>
    </row>
    <row r="664" spans="5:6" x14ac:dyDescent="0.35">
      <c r="E664"/>
      <c r="F664"/>
    </row>
    <row r="665" spans="5:6" x14ac:dyDescent="0.35">
      <c r="E665"/>
      <c r="F665"/>
    </row>
    <row r="666" spans="5:6" x14ac:dyDescent="0.35">
      <c r="E666"/>
      <c r="F666"/>
    </row>
    <row r="667" spans="5:6" x14ac:dyDescent="0.35">
      <c r="E667"/>
      <c r="F667"/>
    </row>
    <row r="668" spans="5:6" x14ac:dyDescent="0.35">
      <c r="E668"/>
      <c r="F668"/>
    </row>
    <row r="669" spans="5:6" x14ac:dyDescent="0.35">
      <c r="E669"/>
      <c r="F669"/>
    </row>
    <row r="670" spans="5:6" x14ac:dyDescent="0.35">
      <c r="E670"/>
      <c r="F670"/>
    </row>
    <row r="671" spans="5:6" x14ac:dyDescent="0.35">
      <c r="E671"/>
      <c r="F671"/>
    </row>
    <row r="672" spans="5:6" x14ac:dyDescent="0.35">
      <c r="E672"/>
      <c r="F672"/>
    </row>
    <row r="673" spans="5:6" x14ac:dyDescent="0.35">
      <c r="E673"/>
      <c r="F673"/>
    </row>
    <row r="674" spans="5:6" x14ac:dyDescent="0.35">
      <c r="E674"/>
      <c r="F674"/>
    </row>
    <row r="675" spans="5:6" x14ac:dyDescent="0.35">
      <c r="E675"/>
      <c r="F675"/>
    </row>
    <row r="676" spans="5:6" x14ac:dyDescent="0.35">
      <c r="E676"/>
      <c r="F676"/>
    </row>
    <row r="677" spans="5:6" x14ac:dyDescent="0.35">
      <c r="E677"/>
      <c r="F677"/>
    </row>
    <row r="678" spans="5:6" x14ac:dyDescent="0.35">
      <c r="E678"/>
      <c r="F678"/>
    </row>
    <row r="679" spans="5:6" x14ac:dyDescent="0.35">
      <c r="E679"/>
      <c r="F679"/>
    </row>
    <row r="680" spans="5:6" x14ac:dyDescent="0.35">
      <c r="E680"/>
      <c r="F680"/>
    </row>
    <row r="681" spans="5:6" x14ac:dyDescent="0.35">
      <c r="E681"/>
      <c r="F681"/>
    </row>
    <row r="682" spans="5:6" x14ac:dyDescent="0.35">
      <c r="E682"/>
      <c r="F682"/>
    </row>
    <row r="683" spans="5:6" x14ac:dyDescent="0.35">
      <c r="E683"/>
      <c r="F683"/>
    </row>
    <row r="684" spans="5:6" x14ac:dyDescent="0.35">
      <c r="E684"/>
      <c r="F684"/>
    </row>
    <row r="685" spans="5:6" x14ac:dyDescent="0.35">
      <c r="E685"/>
      <c r="F685"/>
    </row>
    <row r="686" spans="5:6" x14ac:dyDescent="0.35">
      <c r="E686"/>
      <c r="F686"/>
    </row>
    <row r="687" spans="5:6" x14ac:dyDescent="0.35">
      <c r="E687"/>
      <c r="F687"/>
    </row>
    <row r="688" spans="5:6" x14ac:dyDescent="0.35">
      <c r="E688"/>
      <c r="F688"/>
    </row>
    <row r="689" spans="5:6" x14ac:dyDescent="0.35">
      <c r="E689"/>
      <c r="F689"/>
    </row>
    <row r="690" spans="5:6" x14ac:dyDescent="0.35">
      <c r="E690"/>
      <c r="F690"/>
    </row>
    <row r="691" spans="5:6" x14ac:dyDescent="0.35">
      <c r="E691"/>
      <c r="F691"/>
    </row>
    <row r="692" spans="5:6" x14ac:dyDescent="0.35">
      <c r="E692"/>
      <c r="F692"/>
    </row>
    <row r="693" spans="5:6" x14ac:dyDescent="0.35">
      <c r="E693"/>
      <c r="F693"/>
    </row>
    <row r="694" spans="5:6" x14ac:dyDescent="0.35">
      <c r="E694"/>
      <c r="F694"/>
    </row>
    <row r="695" spans="5:6" x14ac:dyDescent="0.35">
      <c r="E695"/>
      <c r="F695"/>
    </row>
    <row r="696" spans="5:6" x14ac:dyDescent="0.35">
      <c r="E696"/>
      <c r="F696"/>
    </row>
    <row r="697" spans="5:6" x14ac:dyDescent="0.35">
      <c r="E697"/>
      <c r="F697"/>
    </row>
    <row r="698" spans="5:6" x14ac:dyDescent="0.35">
      <c r="E698"/>
      <c r="F698"/>
    </row>
    <row r="699" spans="5:6" x14ac:dyDescent="0.35">
      <c r="E699"/>
      <c r="F699"/>
    </row>
    <row r="700" spans="5:6" x14ac:dyDescent="0.35">
      <c r="E700"/>
      <c r="F700"/>
    </row>
    <row r="701" spans="5:6" x14ac:dyDescent="0.35">
      <c r="E701"/>
      <c r="F701"/>
    </row>
    <row r="702" spans="5:6" x14ac:dyDescent="0.35">
      <c r="E702"/>
      <c r="F702"/>
    </row>
    <row r="703" spans="5:6" x14ac:dyDescent="0.35">
      <c r="E703"/>
      <c r="F703"/>
    </row>
    <row r="704" spans="5:6" x14ac:dyDescent="0.35">
      <c r="E704"/>
      <c r="F704"/>
    </row>
    <row r="705" spans="5:6" x14ac:dyDescent="0.35">
      <c r="E705"/>
      <c r="F705"/>
    </row>
    <row r="706" spans="5:6" x14ac:dyDescent="0.35">
      <c r="E706"/>
      <c r="F706"/>
    </row>
    <row r="707" spans="5:6" x14ac:dyDescent="0.35">
      <c r="E707"/>
      <c r="F707"/>
    </row>
    <row r="708" spans="5:6" x14ac:dyDescent="0.35">
      <c r="E708"/>
      <c r="F708"/>
    </row>
    <row r="709" spans="5:6" x14ac:dyDescent="0.35">
      <c r="E709"/>
      <c r="F709"/>
    </row>
    <row r="710" spans="5:6" x14ac:dyDescent="0.35">
      <c r="E710"/>
      <c r="F710"/>
    </row>
    <row r="711" spans="5:6" x14ac:dyDescent="0.35">
      <c r="E711"/>
      <c r="F711"/>
    </row>
    <row r="712" spans="5:6" x14ac:dyDescent="0.35">
      <c r="E712"/>
      <c r="F712"/>
    </row>
    <row r="713" spans="5:6" x14ac:dyDescent="0.35">
      <c r="E713"/>
      <c r="F713"/>
    </row>
    <row r="714" spans="5:6" x14ac:dyDescent="0.35">
      <c r="E714"/>
      <c r="F714"/>
    </row>
    <row r="715" spans="5:6" x14ac:dyDescent="0.35">
      <c r="E715"/>
      <c r="F715"/>
    </row>
    <row r="716" spans="5:6" x14ac:dyDescent="0.35">
      <c r="E716"/>
      <c r="F716"/>
    </row>
    <row r="717" spans="5:6" x14ac:dyDescent="0.35">
      <c r="E717"/>
      <c r="F717"/>
    </row>
    <row r="718" spans="5:6" x14ac:dyDescent="0.35">
      <c r="E718"/>
      <c r="F718"/>
    </row>
    <row r="719" spans="5:6" x14ac:dyDescent="0.35">
      <c r="E719"/>
      <c r="F719"/>
    </row>
    <row r="720" spans="5:6" x14ac:dyDescent="0.35">
      <c r="E720"/>
      <c r="F720"/>
    </row>
    <row r="721" spans="5:6" x14ac:dyDescent="0.35">
      <c r="E721"/>
      <c r="F721"/>
    </row>
    <row r="722" spans="5:6" x14ac:dyDescent="0.35">
      <c r="E722"/>
      <c r="F722"/>
    </row>
    <row r="723" spans="5:6" x14ac:dyDescent="0.35">
      <c r="E723"/>
      <c r="F723"/>
    </row>
    <row r="724" spans="5:6" x14ac:dyDescent="0.35">
      <c r="E724"/>
      <c r="F724"/>
    </row>
    <row r="725" spans="5:6" x14ac:dyDescent="0.35">
      <c r="E725"/>
      <c r="F725"/>
    </row>
    <row r="726" spans="5:6" x14ac:dyDescent="0.35">
      <c r="E726"/>
      <c r="F726"/>
    </row>
    <row r="727" spans="5:6" x14ac:dyDescent="0.35">
      <c r="E727"/>
      <c r="F727"/>
    </row>
    <row r="728" spans="5:6" x14ac:dyDescent="0.35">
      <c r="E728"/>
      <c r="F728"/>
    </row>
    <row r="729" spans="5:6" x14ac:dyDescent="0.35">
      <c r="E729"/>
      <c r="F729"/>
    </row>
    <row r="730" spans="5:6" x14ac:dyDescent="0.35">
      <c r="E730"/>
      <c r="F730"/>
    </row>
    <row r="731" spans="5:6" x14ac:dyDescent="0.35">
      <c r="E731"/>
      <c r="F731"/>
    </row>
    <row r="732" spans="5:6" x14ac:dyDescent="0.35">
      <c r="E732"/>
      <c r="F732"/>
    </row>
    <row r="733" spans="5:6" x14ac:dyDescent="0.35">
      <c r="E733"/>
      <c r="F733"/>
    </row>
    <row r="734" spans="5:6" x14ac:dyDescent="0.35">
      <c r="E734"/>
      <c r="F734"/>
    </row>
    <row r="735" spans="5:6" x14ac:dyDescent="0.35">
      <c r="E735"/>
      <c r="F735"/>
    </row>
    <row r="736" spans="5:6" x14ac:dyDescent="0.35">
      <c r="E736"/>
      <c r="F736"/>
    </row>
    <row r="737" spans="5:6" x14ac:dyDescent="0.35">
      <c r="E737"/>
      <c r="F737"/>
    </row>
    <row r="738" spans="5:6" x14ac:dyDescent="0.35">
      <c r="E738"/>
      <c r="F738"/>
    </row>
    <row r="739" spans="5:6" x14ac:dyDescent="0.35">
      <c r="E739"/>
      <c r="F739"/>
    </row>
    <row r="740" spans="5:6" x14ac:dyDescent="0.35">
      <c r="E740"/>
      <c r="F740"/>
    </row>
    <row r="741" spans="5:6" x14ac:dyDescent="0.35">
      <c r="E741"/>
      <c r="F741"/>
    </row>
    <row r="742" spans="5:6" x14ac:dyDescent="0.35">
      <c r="E742"/>
      <c r="F742"/>
    </row>
    <row r="743" spans="5:6" x14ac:dyDescent="0.35">
      <c r="E743"/>
      <c r="F743"/>
    </row>
    <row r="744" spans="5:6" x14ac:dyDescent="0.35">
      <c r="E744"/>
      <c r="F744"/>
    </row>
    <row r="745" spans="5:6" x14ac:dyDescent="0.35">
      <c r="E745"/>
      <c r="F745"/>
    </row>
    <row r="746" spans="5:6" x14ac:dyDescent="0.35">
      <c r="E746"/>
      <c r="F746"/>
    </row>
    <row r="747" spans="5:6" x14ac:dyDescent="0.35">
      <c r="E747"/>
      <c r="F747"/>
    </row>
    <row r="748" spans="5:6" x14ac:dyDescent="0.35">
      <c r="E748"/>
      <c r="F748"/>
    </row>
    <row r="749" spans="5:6" x14ac:dyDescent="0.35">
      <c r="E749"/>
      <c r="F749"/>
    </row>
    <row r="750" spans="5:6" x14ac:dyDescent="0.35">
      <c r="E750"/>
      <c r="F750"/>
    </row>
    <row r="751" spans="5:6" x14ac:dyDescent="0.35">
      <c r="E751"/>
      <c r="F751"/>
    </row>
    <row r="752" spans="5:6" x14ac:dyDescent="0.35">
      <c r="E752"/>
      <c r="F752"/>
    </row>
    <row r="753" spans="5:6" x14ac:dyDescent="0.35">
      <c r="E753"/>
      <c r="F753"/>
    </row>
    <row r="754" spans="5:6" x14ac:dyDescent="0.35">
      <c r="E754"/>
      <c r="F754"/>
    </row>
    <row r="755" spans="5:6" x14ac:dyDescent="0.35">
      <c r="E755"/>
      <c r="F755"/>
    </row>
    <row r="756" spans="5:6" x14ac:dyDescent="0.35">
      <c r="E756"/>
      <c r="F756"/>
    </row>
    <row r="757" spans="5:6" x14ac:dyDescent="0.35">
      <c r="E757"/>
      <c r="F757"/>
    </row>
    <row r="758" spans="5:6" x14ac:dyDescent="0.35">
      <c r="E758"/>
      <c r="F758"/>
    </row>
    <row r="759" spans="5:6" x14ac:dyDescent="0.35">
      <c r="E759"/>
      <c r="F759"/>
    </row>
    <row r="760" spans="5:6" x14ac:dyDescent="0.35">
      <c r="E760"/>
      <c r="F760"/>
    </row>
    <row r="761" spans="5:6" x14ac:dyDescent="0.35">
      <c r="E761"/>
      <c r="F761"/>
    </row>
    <row r="762" spans="5:6" x14ac:dyDescent="0.35">
      <c r="E762"/>
      <c r="F762"/>
    </row>
    <row r="763" spans="5:6" x14ac:dyDescent="0.35">
      <c r="E763"/>
      <c r="F763"/>
    </row>
    <row r="764" spans="5:6" x14ac:dyDescent="0.35">
      <c r="E764"/>
      <c r="F764"/>
    </row>
    <row r="765" spans="5:6" x14ac:dyDescent="0.35">
      <c r="E765"/>
      <c r="F765"/>
    </row>
    <row r="766" spans="5:6" x14ac:dyDescent="0.35">
      <c r="E766"/>
      <c r="F766"/>
    </row>
    <row r="767" spans="5:6" x14ac:dyDescent="0.35">
      <c r="E767"/>
      <c r="F767"/>
    </row>
    <row r="768" spans="5:6" x14ac:dyDescent="0.35">
      <c r="E768"/>
      <c r="F768"/>
    </row>
    <row r="769" spans="5:6" x14ac:dyDescent="0.35">
      <c r="E769"/>
      <c r="F769"/>
    </row>
    <row r="770" spans="5:6" x14ac:dyDescent="0.35">
      <c r="E770"/>
      <c r="F770"/>
    </row>
    <row r="771" spans="5:6" x14ac:dyDescent="0.35">
      <c r="E771"/>
      <c r="F771"/>
    </row>
    <row r="772" spans="5:6" x14ac:dyDescent="0.35">
      <c r="E772"/>
      <c r="F772"/>
    </row>
    <row r="773" spans="5:6" x14ac:dyDescent="0.35">
      <c r="E773"/>
      <c r="F773"/>
    </row>
    <row r="774" spans="5:6" x14ac:dyDescent="0.35">
      <c r="E774"/>
      <c r="F774"/>
    </row>
    <row r="775" spans="5:6" x14ac:dyDescent="0.35">
      <c r="E775"/>
      <c r="F775"/>
    </row>
    <row r="776" spans="5:6" x14ac:dyDescent="0.35">
      <c r="E776"/>
      <c r="F776"/>
    </row>
    <row r="777" spans="5:6" x14ac:dyDescent="0.35">
      <c r="E777"/>
      <c r="F777"/>
    </row>
    <row r="778" spans="5:6" x14ac:dyDescent="0.35">
      <c r="E778"/>
      <c r="F778"/>
    </row>
    <row r="779" spans="5:6" x14ac:dyDescent="0.35">
      <c r="E779"/>
      <c r="F779"/>
    </row>
    <row r="780" spans="5:6" x14ac:dyDescent="0.35">
      <c r="E780"/>
      <c r="F780"/>
    </row>
    <row r="781" spans="5:6" x14ac:dyDescent="0.35">
      <c r="E781"/>
      <c r="F781"/>
    </row>
    <row r="782" spans="5:6" x14ac:dyDescent="0.35">
      <c r="E782"/>
      <c r="F782"/>
    </row>
    <row r="783" spans="5:6" x14ac:dyDescent="0.35">
      <c r="E783"/>
      <c r="F783"/>
    </row>
    <row r="784" spans="5:6" x14ac:dyDescent="0.35">
      <c r="E784"/>
      <c r="F784"/>
    </row>
    <row r="785" spans="5:6" x14ac:dyDescent="0.35">
      <c r="E785"/>
      <c r="F785"/>
    </row>
    <row r="786" spans="5:6" x14ac:dyDescent="0.35">
      <c r="E786"/>
      <c r="F786"/>
    </row>
    <row r="787" spans="5:6" x14ac:dyDescent="0.35">
      <c r="E787"/>
      <c r="F787"/>
    </row>
    <row r="788" spans="5:6" x14ac:dyDescent="0.35">
      <c r="E788"/>
      <c r="F788"/>
    </row>
    <row r="789" spans="5:6" x14ac:dyDescent="0.35">
      <c r="E789"/>
      <c r="F789"/>
    </row>
    <row r="790" spans="5:6" x14ac:dyDescent="0.35">
      <c r="E790"/>
      <c r="F790"/>
    </row>
    <row r="791" spans="5:6" x14ac:dyDescent="0.35">
      <c r="E791"/>
      <c r="F791"/>
    </row>
    <row r="792" spans="5:6" x14ac:dyDescent="0.35">
      <c r="E792"/>
      <c r="F792"/>
    </row>
    <row r="793" spans="5:6" x14ac:dyDescent="0.35">
      <c r="E793"/>
      <c r="F793"/>
    </row>
    <row r="794" spans="5:6" x14ac:dyDescent="0.35">
      <c r="E794"/>
      <c r="F794"/>
    </row>
    <row r="795" spans="5:6" x14ac:dyDescent="0.35">
      <c r="E795"/>
      <c r="F795"/>
    </row>
    <row r="796" spans="5:6" x14ac:dyDescent="0.35">
      <c r="E796"/>
      <c r="F796"/>
    </row>
    <row r="797" spans="5:6" x14ac:dyDescent="0.35">
      <c r="E797"/>
      <c r="F797"/>
    </row>
    <row r="798" spans="5:6" x14ac:dyDescent="0.35">
      <c r="E798"/>
      <c r="F798"/>
    </row>
    <row r="799" spans="5:6" x14ac:dyDescent="0.35">
      <c r="E799"/>
      <c r="F799"/>
    </row>
    <row r="800" spans="5:6" x14ac:dyDescent="0.35">
      <c r="E800"/>
      <c r="F800"/>
    </row>
    <row r="801" spans="5:6" x14ac:dyDescent="0.35">
      <c r="E801"/>
      <c r="F801"/>
    </row>
    <row r="802" spans="5:6" x14ac:dyDescent="0.35">
      <c r="E802"/>
      <c r="F802"/>
    </row>
    <row r="803" spans="5:6" x14ac:dyDescent="0.35">
      <c r="E803"/>
      <c r="F803"/>
    </row>
    <row r="804" spans="5:6" x14ac:dyDescent="0.35">
      <c r="E804"/>
      <c r="F804"/>
    </row>
    <row r="805" spans="5:6" x14ac:dyDescent="0.35">
      <c r="E805"/>
      <c r="F805"/>
    </row>
    <row r="806" spans="5:6" x14ac:dyDescent="0.35">
      <c r="E806"/>
      <c r="F806"/>
    </row>
    <row r="807" spans="5:6" x14ac:dyDescent="0.35">
      <c r="E807"/>
      <c r="F807"/>
    </row>
    <row r="808" spans="5:6" x14ac:dyDescent="0.35">
      <c r="E808"/>
      <c r="F808"/>
    </row>
    <row r="809" spans="5:6" x14ac:dyDescent="0.35">
      <c r="E809"/>
      <c r="F809"/>
    </row>
    <row r="810" spans="5:6" x14ac:dyDescent="0.35">
      <c r="E810"/>
      <c r="F810"/>
    </row>
    <row r="811" spans="5:6" x14ac:dyDescent="0.35">
      <c r="E811"/>
      <c r="F811"/>
    </row>
    <row r="812" spans="5:6" x14ac:dyDescent="0.35">
      <c r="E812"/>
      <c r="F812"/>
    </row>
    <row r="813" spans="5:6" x14ac:dyDescent="0.35">
      <c r="E813"/>
      <c r="F813"/>
    </row>
    <row r="814" spans="5:6" x14ac:dyDescent="0.35">
      <c r="E814"/>
      <c r="F814"/>
    </row>
    <row r="815" spans="5:6" x14ac:dyDescent="0.35">
      <c r="E815"/>
      <c r="F815"/>
    </row>
    <row r="816" spans="5:6" x14ac:dyDescent="0.35">
      <c r="E816"/>
      <c r="F816"/>
    </row>
    <row r="817" spans="5:6" x14ac:dyDescent="0.35">
      <c r="E817"/>
      <c r="F817"/>
    </row>
    <row r="818" spans="5:6" x14ac:dyDescent="0.35">
      <c r="E818"/>
      <c r="F818"/>
    </row>
    <row r="819" spans="5:6" x14ac:dyDescent="0.35">
      <c r="E819"/>
      <c r="F819"/>
    </row>
    <row r="820" spans="5:6" x14ac:dyDescent="0.35">
      <c r="E820"/>
      <c r="F820"/>
    </row>
    <row r="821" spans="5:6" x14ac:dyDescent="0.35">
      <c r="E821"/>
      <c r="F821"/>
    </row>
    <row r="822" spans="5:6" x14ac:dyDescent="0.35">
      <c r="E822"/>
      <c r="F822"/>
    </row>
    <row r="823" spans="5:6" x14ac:dyDescent="0.35">
      <c r="E823"/>
      <c r="F823"/>
    </row>
    <row r="824" spans="5:6" x14ac:dyDescent="0.35">
      <c r="E824"/>
      <c r="F824"/>
    </row>
    <row r="825" spans="5:6" x14ac:dyDescent="0.35">
      <c r="E825"/>
      <c r="F825"/>
    </row>
    <row r="826" spans="5:6" x14ac:dyDescent="0.35">
      <c r="E826"/>
      <c r="F826"/>
    </row>
    <row r="827" spans="5:6" x14ac:dyDescent="0.35">
      <c r="E827"/>
      <c r="F827"/>
    </row>
    <row r="828" spans="5:6" x14ac:dyDescent="0.35">
      <c r="E828"/>
      <c r="F828"/>
    </row>
    <row r="829" spans="5:6" x14ac:dyDescent="0.35">
      <c r="E829"/>
      <c r="F829"/>
    </row>
    <row r="830" spans="5:6" x14ac:dyDescent="0.35">
      <c r="E830"/>
      <c r="F830"/>
    </row>
    <row r="831" spans="5:6" x14ac:dyDescent="0.35">
      <c r="E831"/>
      <c r="F831"/>
    </row>
    <row r="832" spans="5:6" x14ac:dyDescent="0.35">
      <c r="E832"/>
      <c r="F832"/>
    </row>
    <row r="833" spans="5:6" x14ac:dyDescent="0.35">
      <c r="E833"/>
      <c r="F833"/>
    </row>
    <row r="834" spans="5:6" x14ac:dyDescent="0.35">
      <c r="E834"/>
      <c r="F834"/>
    </row>
    <row r="835" spans="5:6" x14ac:dyDescent="0.35">
      <c r="E835"/>
      <c r="F835"/>
    </row>
    <row r="836" spans="5:6" x14ac:dyDescent="0.35">
      <c r="E836"/>
      <c r="F836"/>
    </row>
    <row r="837" spans="5:6" x14ac:dyDescent="0.35">
      <c r="E837"/>
      <c r="F837"/>
    </row>
    <row r="838" spans="5:6" x14ac:dyDescent="0.35">
      <c r="E838"/>
      <c r="F838"/>
    </row>
    <row r="839" spans="5:6" x14ac:dyDescent="0.35">
      <c r="E839"/>
      <c r="F839"/>
    </row>
    <row r="840" spans="5:6" x14ac:dyDescent="0.35">
      <c r="E840"/>
      <c r="F840"/>
    </row>
    <row r="841" spans="5:6" x14ac:dyDescent="0.35">
      <c r="E841"/>
      <c r="F841"/>
    </row>
    <row r="842" spans="5:6" x14ac:dyDescent="0.35">
      <c r="E842"/>
      <c r="F842"/>
    </row>
    <row r="843" spans="5:6" x14ac:dyDescent="0.35">
      <c r="E843"/>
      <c r="F843"/>
    </row>
    <row r="844" spans="5:6" x14ac:dyDescent="0.35">
      <c r="E844"/>
      <c r="F844"/>
    </row>
    <row r="845" spans="5:6" x14ac:dyDescent="0.35">
      <c r="E845"/>
      <c r="F845"/>
    </row>
    <row r="846" spans="5:6" x14ac:dyDescent="0.35">
      <c r="E846"/>
      <c r="F846"/>
    </row>
    <row r="847" spans="5:6" x14ac:dyDescent="0.35">
      <c r="E847"/>
      <c r="F847"/>
    </row>
    <row r="848" spans="5:6" x14ac:dyDescent="0.35">
      <c r="E848"/>
      <c r="F848"/>
    </row>
    <row r="849" spans="5:6" x14ac:dyDescent="0.35">
      <c r="E849"/>
      <c r="F849"/>
    </row>
    <row r="850" spans="5:6" x14ac:dyDescent="0.35">
      <c r="E850"/>
      <c r="F850"/>
    </row>
    <row r="851" spans="5:6" x14ac:dyDescent="0.35">
      <c r="E851"/>
      <c r="F851"/>
    </row>
    <row r="852" spans="5:6" x14ac:dyDescent="0.35">
      <c r="E852"/>
      <c r="F852"/>
    </row>
    <row r="853" spans="5:6" x14ac:dyDescent="0.35">
      <c r="E853"/>
      <c r="F853"/>
    </row>
    <row r="854" spans="5:6" x14ac:dyDescent="0.35">
      <c r="E854"/>
      <c r="F854"/>
    </row>
    <row r="855" spans="5:6" x14ac:dyDescent="0.35">
      <c r="E855"/>
      <c r="F855"/>
    </row>
    <row r="856" spans="5:6" x14ac:dyDescent="0.35">
      <c r="E856"/>
      <c r="F856"/>
    </row>
    <row r="857" spans="5:6" x14ac:dyDescent="0.35">
      <c r="E857"/>
      <c r="F857"/>
    </row>
    <row r="858" spans="5:6" x14ac:dyDescent="0.35">
      <c r="E858"/>
      <c r="F858"/>
    </row>
    <row r="859" spans="5:6" x14ac:dyDescent="0.35">
      <c r="E859"/>
      <c r="F859"/>
    </row>
    <row r="860" spans="5:6" x14ac:dyDescent="0.35">
      <c r="E860"/>
      <c r="F860"/>
    </row>
    <row r="861" spans="5:6" x14ac:dyDescent="0.35">
      <c r="E861"/>
      <c r="F861"/>
    </row>
    <row r="862" spans="5:6" x14ac:dyDescent="0.35">
      <c r="E862"/>
      <c r="F862"/>
    </row>
    <row r="863" spans="5:6" x14ac:dyDescent="0.35">
      <c r="E863"/>
      <c r="F863"/>
    </row>
    <row r="864" spans="5:6" x14ac:dyDescent="0.35">
      <c r="E864"/>
      <c r="F864"/>
    </row>
    <row r="865" spans="5:6" x14ac:dyDescent="0.35">
      <c r="E865"/>
      <c r="F865"/>
    </row>
    <row r="866" spans="5:6" x14ac:dyDescent="0.35">
      <c r="E866"/>
      <c r="F866"/>
    </row>
    <row r="867" spans="5:6" x14ac:dyDescent="0.35">
      <c r="E867"/>
      <c r="F867"/>
    </row>
    <row r="868" spans="5:6" x14ac:dyDescent="0.35">
      <c r="E868"/>
      <c r="F868"/>
    </row>
    <row r="869" spans="5:6" x14ac:dyDescent="0.35">
      <c r="E869"/>
      <c r="F869"/>
    </row>
    <row r="870" spans="5:6" x14ac:dyDescent="0.35">
      <c r="E870"/>
      <c r="F870"/>
    </row>
    <row r="871" spans="5:6" x14ac:dyDescent="0.35">
      <c r="E871"/>
      <c r="F871"/>
    </row>
    <row r="872" spans="5:6" x14ac:dyDescent="0.35">
      <c r="E872"/>
      <c r="F872"/>
    </row>
    <row r="873" spans="5:6" x14ac:dyDescent="0.35">
      <c r="E873"/>
      <c r="F873"/>
    </row>
    <row r="874" spans="5:6" x14ac:dyDescent="0.35">
      <c r="E874"/>
      <c r="F874"/>
    </row>
    <row r="875" spans="5:6" x14ac:dyDescent="0.35">
      <c r="E875"/>
      <c r="F875"/>
    </row>
    <row r="876" spans="5:6" x14ac:dyDescent="0.35">
      <c r="E876"/>
      <c r="F876"/>
    </row>
    <row r="877" spans="5:6" x14ac:dyDescent="0.35">
      <c r="E877"/>
      <c r="F877"/>
    </row>
    <row r="878" spans="5:6" x14ac:dyDescent="0.35">
      <c r="E878"/>
      <c r="F878"/>
    </row>
    <row r="879" spans="5:6" x14ac:dyDescent="0.35">
      <c r="E879"/>
      <c r="F879"/>
    </row>
    <row r="880" spans="5:6" x14ac:dyDescent="0.35">
      <c r="E880"/>
      <c r="F880"/>
    </row>
    <row r="881" spans="5:6" x14ac:dyDescent="0.35">
      <c r="E881"/>
      <c r="F881"/>
    </row>
    <row r="882" spans="5:6" x14ac:dyDescent="0.35">
      <c r="E882"/>
      <c r="F882"/>
    </row>
    <row r="883" spans="5:6" x14ac:dyDescent="0.35">
      <c r="E883"/>
      <c r="F883"/>
    </row>
    <row r="884" spans="5:6" x14ac:dyDescent="0.35">
      <c r="E884"/>
      <c r="F884"/>
    </row>
    <row r="885" spans="5:6" x14ac:dyDescent="0.35">
      <c r="E885"/>
      <c r="F885"/>
    </row>
    <row r="886" spans="5:6" x14ac:dyDescent="0.35">
      <c r="E886"/>
      <c r="F886"/>
    </row>
    <row r="887" spans="5:6" x14ac:dyDescent="0.35">
      <c r="E887"/>
      <c r="F887"/>
    </row>
    <row r="888" spans="5:6" x14ac:dyDescent="0.35">
      <c r="E888"/>
      <c r="F888"/>
    </row>
    <row r="889" spans="5:6" x14ac:dyDescent="0.35">
      <c r="E889"/>
      <c r="F889"/>
    </row>
    <row r="890" spans="5:6" x14ac:dyDescent="0.35">
      <c r="E890"/>
      <c r="F890"/>
    </row>
    <row r="891" spans="5:6" x14ac:dyDescent="0.35">
      <c r="E891"/>
      <c r="F891"/>
    </row>
    <row r="892" spans="5:6" x14ac:dyDescent="0.35">
      <c r="E892"/>
      <c r="F892"/>
    </row>
    <row r="893" spans="5:6" x14ac:dyDescent="0.35">
      <c r="E893"/>
      <c r="F893"/>
    </row>
    <row r="894" spans="5:6" x14ac:dyDescent="0.35">
      <c r="E894"/>
      <c r="F894"/>
    </row>
    <row r="895" spans="5:6" x14ac:dyDescent="0.35">
      <c r="E895"/>
      <c r="F895"/>
    </row>
    <row r="896" spans="5:6" x14ac:dyDescent="0.35">
      <c r="E896"/>
      <c r="F896"/>
    </row>
    <row r="897" spans="5:6" x14ac:dyDescent="0.35">
      <c r="E897"/>
      <c r="F897"/>
    </row>
    <row r="898" spans="5:6" x14ac:dyDescent="0.35">
      <c r="E898"/>
      <c r="F898"/>
    </row>
    <row r="899" spans="5:6" x14ac:dyDescent="0.35">
      <c r="E899"/>
      <c r="F899"/>
    </row>
    <row r="900" spans="5:6" x14ac:dyDescent="0.35">
      <c r="E900"/>
      <c r="F900"/>
    </row>
    <row r="901" spans="5:6" x14ac:dyDescent="0.35">
      <c r="E901"/>
      <c r="F901"/>
    </row>
    <row r="902" spans="5:6" x14ac:dyDescent="0.35">
      <c r="E902"/>
      <c r="F902"/>
    </row>
    <row r="903" spans="5:6" x14ac:dyDescent="0.35">
      <c r="E903"/>
      <c r="F903"/>
    </row>
    <row r="904" spans="5:6" x14ac:dyDescent="0.35">
      <c r="E904"/>
      <c r="F904"/>
    </row>
    <row r="905" spans="5:6" x14ac:dyDescent="0.35">
      <c r="E905"/>
      <c r="F905"/>
    </row>
    <row r="906" spans="5:6" x14ac:dyDescent="0.35">
      <c r="E906"/>
      <c r="F906"/>
    </row>
    <row r="907" spans="5:6" x14ac:dyDescent="0.35">
      <c r="E907"/>
      <c r="F907"/>
    </row>
    <row r="908" spans="5:6" x14ac:dyDescent="0.35">
      <c r="E908"/>
      <c r="F908"/>
    </row>
    <row r="909" spans="5:6" x14ac:dyDescent="0.35">
      <c r="E909"/>
      <c r="F909"/>
    </row>
    <row r="910" spans="5:6" x14ac:dyDescent="0.35">
      <c r="E910"/>
      <c r="F910"/>
    </row>
    <row r="911" spans="5:6" x14ac:dyDescent="0.35">
      <c r="E911"/>
      <c r="F911"/>
    </row>
    <row r="912" spans="5:6" x14ac:dyDescent="0.35">
      <c r="E912"/>
      <c r="F912"/>
    </row>
    <row r="913" spans="5:6" x14ac:dyDescent="0.35">
      <c r="E913"/>
      <c r="F913"/>
    </row>
    <row r="914" spans="5:6" x14ac:dyDescent="0.35">
      <c r="E914"/>
      <c r="F914"/>
    </row>
    <row r="915" spans="5:6" x14ac:dyDescent="0.35">
      <c r="E915"/>
      <c r="F915"/>
    </row>
    <row r="916" spans="5:6" x14ac:dyDescent="0.35">
      <c r="E916"/>
      <c r="F916"/>
    </row>
    <row r="917" spans="5:6" x14ac:dyDescent="0.35">
      <c r="E917"/>
      <c r="F917"/>
    </row>
    <row r="918" spans="5:6" x14ac:dyDescent="0.35">
      <c r="E918"/>
      <c r="F918"/>
    </row>
    <row r="919" spans="5:6" x14ac:dyDescent="0.35">
      <c r="E919"/>
      <c r="F919"/>
    </row>
    <row r="920" spans="5:6" x14ac:dyDescent="0.35">
      <c r="E920"/>
      <c r="F920"/>
    </row>
    <row r="921" spans="5:6" x14ac:dyDescent="0.35">
      <c r="E921"/>
      <c r="F921"/>
    </row>
    <row r="922" spans="5:6" x14ac:dyDescent="0.35">
      <c r="E922"/>
      <c r="F922"/>
    </row>
    <row r="923" spans="5:6" x14ac:dyDescent="0.35">
      <c r="E923"/>
      <c r="F923"/>
    </row>
    <row r="924" spans="5:6" x14ac:dyDescent="0.35">
      <c r="E924"/>
      <c r="F924"/>
    </row>
    <row r="925" spans="5:6" x14ac:dyDescent="0.35">
      <c r="E925"/>
      <c r="F925"/>
    </row>
    <row r="926" spans="5:6" x14ac:dyDescent="0.35">
      <c r="E926"/>
      <c r="F926"/>
    </row>
    <row r="927" spans="5:6" x14ac:dyDescent="0.35">
      <c r="E927"/>
      <c r="F927"/>
    </row>
    <row r="928" spans="5:6" x14ac:dyDescent="0.35">
      <c r="E928"/>
      <c r="F928"/>
    </row>
    <row r="929" spans="5:6" x14ac:dyDescent="0.35">
      <c r="E929"/>
      <c r="F929"/>
    </row>
    <row r="930" spans="5:6" x14ac:dyDescent="0.35">
      <c r="E930"/>
      <c r="F930"/>
    </row>
    <row r="931" spans="5:6" x14ac:dyDescent="0.35">
      <c r="E931"/>
      <c r="F931"/>
    </row>
    <row r="932" spans="5:6" x14ac:dyDescent="0.35">
      <c r="E932"/>
      <c r="F932"/>
    </row>
    <row r="933" spans="5:6" x14ac:dyDescent="0.35">
      <c r="E933"/>
      <c r="F933"/>
    </row>
    <row r="934" spans="5:6" x14ac:dyDescent="0.35">
      <c r="E934"/>
      <c r="F934"/>
    </row>
    <row r="935" spans="5:6" x14ac:dyDescent="0.35">
      <c r="E935"/>
      <c r="F935"/>
    </row>
    <row r="936" spans="5:6" x14ac:dyDescent="0.35">
      <c r="E936"/>
      <c r="F936"/>
    </row>
    <row r="937" spans="5:6" x14ac:dyDescent="0.35">
      <c r="E937"/>
      <c r="F937"/>
    </row>
    <row r="938" spans="5:6" x14ac:dyDescent="0.35">
      <c r="E938"/>
      <c r="F938"/>
    </row>
    <row r="939" spans="5:6" x14ac:dyDescent="0.35">
      <c r="E939"/>
      <c r="F939"/>
    </row>
    <row r="940" spans="5:6" x14ac:dyDescent="0.35">
      <c r="E940"/>
      <c r="F940"/>
    </row>
    <row r="941" spans="5:6" x14ac:dyDescent="0.35">
      <c r="E941"/>
      <c r="F941"/>
    </row>
    <row r="942" spans="5:6" x14ac:dyDescent="0.35">
      <c r="E942"/>
      <c r="F942"/>
    </row>
    <row r="943" spans="5:6" x14ac:dyDescent="0.35">
      <c r="E943"/>
      <c r="F943"/>
    </row>
    <row r="944" spans="5:6" x14ac:dyDescent="0.35">
      <c r="E944"/>
      <c r="F944"/>
    </row>
    <row r="945" spans="5:6" x14ac:dyDescent="0.35">
      <c r="E945"/>
      <c r="F945"/>
    </row>
    <row r="946" spans="5:6" x14ac:dyDescent="0.35">
      <c r="E946"/>
      <c r="F946"/>
    </row>
    <row r="947" spans="5:6" x14ac:dyDescent="0.35">
      <c r="E947"/>
      <c r="F947"/>
    </row>
    <row r="948" spans="5:6" x14ac:dyDescent="0.35">
      <c r="E948"/>
      <c r="F948"/>
    </row>
    <row r="949" spans="5:6" x14ac:dyDescent="0.35">
      <c r="E949"/>
      <c r="F949"/>
    </row>
    <row r="950" spans="5:6" x14ac:dyDescent="0.35">
      <c r="E950"/>
      <c r="F950"/>
    </row>
    <row r="951" spans="5:6" x14ac:dyDescent="0.35">
      <c r="E951"/>
      <c r="F951"/>
    </row>
    <row r="952" spans="5:6" x14ac:dyDescent="0.35">
      <c r="E952"/>
      <c r="F952"/>
    </row>
    <row r="953" spans="5:6" x14ac:dyDescent="0.35">
      <c r="E953"/>
      <c r="F953"/>
    </row>
    <row r="954" spans="5:6" x14ac:dyDescent="0.35">
      <c r="E954"/>
      <c r="F954"/>
    </row>
    <row r="955" spans="5:6" x14ac:dyDescent="0.35">
      <c r="E955"/>
      <c r="F955"/>
    </row>
    <row r="956" spans="5:6" x14ac:dyDescent="0.35">
      <c r="E956"/>
      <c r="F956"/>
    </row>
    <row r="957" spans="5:6" x14ac:dyDescent="0.35">
      <c r="E957"/>
      <c r="F957"/>
    </row>
    <row r="958" spans="5:6" x14ac:dyDescent="0.35">
      <c r="E958"/>
      <c r="F958"/>
    </row>
    <row r="959" spans="5:6" x14ac:dyDescent="0.35">
      <c r="E959"/>
      <c r="F959"/>
    </row>
    <row r="960" spans="5:6" x14ac:dyDescent="0.35">
      <c r="E960"/>
      <c r="F960"/>
    </row>
    <row r="961" spans="5:6" x14ac:dyDescent="0.35">
      <c r="E961"/>
      <c r="F961"/>
    </row>
    <row r="962" spans="5:6" x14ac:dyDescent="0.35">
      <c r="E962"/>
      <c r="F962"/>
    </row>
    <row r="963" spans="5:6" x14ac:dyDescent="0.35">
      <c r="E963"/>
      <c r="F963"/>
    </row>
    <row r="964" spans="5:6" x14ac:dyDescent="0.35">
      <c r="E964"/>
      <c r="F964"/>
    </row>
    <row r="965" spans="5:6" x14ac:dyDescent="0.35">
      <c r="E965"/>
      <c r="F965"/>
    </row>
    <row r="966" spans="5:6" x14ac:dyDescent="0.35">
      <c r="E966"/>
      <c r="F966"/>
    </row>
    <row r="967" spans="5:6" x14ac:dyDescent="0.35">
      <c r="E967"/>
      <c r="F967"/>
    </row>
    <row r="968" spans="5:6" x14ac:dyDescent="0.35">
      <c r="E968"/>
      <c r="F968"/>
    </row>
    <row r="969" spans="5:6" x14ac:dyDescent="0.35">
      <c r="E969"/>
      <c r="F969"/>
    </row>
    <row r="970" spans="5:6" x14ac:dyDescent="0.35">
      <c r="E970"/>
      <c r="F970"/>
    </row>
    <row r="971" spans="5:6" x14ac:dyDescent="0.35">
      <c r="E971"/>
      <c r="F971"/>
    </row>
    <row r="972" spans="5:6" x14ac:dyDescent="0.35">
      <c r="E972"/>
      <c r="F972"/>
    </row>
    <row r="973" spans="5:6" x14ac:dyDescent="0.35">
      <c r="E973"/>
      <c r="F973"/>
    </row>
    <row r="974" spans="5:6" x14ac:dyDescent="0.35">
      <c r="E974"/>
      <c r="F974"/>
    </row>
    <row r="975" spans="5:6" x14ac:dyDescent="0.35">
      <c r="E975"/>
      <c r="F975"/>
    </row>
    <row r="976" spans="5:6" x14ac:dyDescent="0.35">
      <c r="E976"/>
      <c r="F976"/>
    </row>
    <row r="977" spans="5:6" x14ac:dyDescent="0.35">
      <c r="E977"/>
      <c r="F977"/>
    </row>
    <row r="978" spans="5:6" x14ac:dyDescent="0.35">
      <c r="E978"/>
      <c r="F978"/>
    </row>
    <row r="979" spans="5:6" x14ac:dyDescent="0.35">
      <c r="E979"/>
      <c r="F979"/>
    </row>
    <row r="980" spans="5:6" x14ac:dyDescent="0.35">
      <c r="E980"/>
      <c r="F980"/>
    </row>
    <row r="981" spans="5:6" x14ac:dyDescent="0.35">
      <c r="E981"/>
      <c r="F981"/>
    </row>
    <row r="982" spans="5:6" x14ac:dyDescent="0.35">
      <c r="E982"/>
      <c r="F982"/>
    </row>
    <row r="983" spans="5:6" x14ac:dyDescent="0.35">
      <c r="E983"/>
      <c r="F983"/>
    </row>
    <row r="984" spans="5:6" x14ac:dyDescent="0.35">
      <c r="E984"/>
      <c r="F984"/>
    </row>
    <row r="985" spans="5:6" x14ac:dyDescent="0.35">
      <c r="E985"/>
      <c r="F985"/>
    </row>
    <row r="986" spans="5:6" x14ac:dyDescent="0.35">
      <c r="E986"/>
      <c r="F986"/>
    </row>
    <row r="987" spans="5:6" x14ac:dyDescent="0.35">
      <c r="E987"/>
      <c r="F987"/>
    </row>
    <row r="988" spans="5:6" x14ac:dyDescent="0.35">
      <c r="E988"/>
      <c r="F988"/>
    </row>
    <row r="989" spans="5:6" x14ac:dyDescent="0.35">
      <c r="E989"/>
      <c r="F989"/>
    </row>
    <row r="990" spans="5:6" x14ac:dyDescent="0.35">
      <c r="E990"/>
      <c r="F990"/>
    </row>
    <row r="991" spans="5:6" x14ac:dyDescent="0.35">
      <c r="E991"/>
      <c r="F991"/>
    </row>
    <row r="992" spans="5:6" x14ac:dyDescent="0.35">
      <c r="E992"/>
      <c r="F992"/>
    </row>
    <row r="993" spans="5:6" x14ac:dyDescent="0.35">
      <c r="E993"/>
      <c r="F993"/>
    </row>
    <row r="994" spans="5:6" x14ac:dyDescent="0.35">
      <c r="E994"/>
      <c r="F994"/>
    </row>
    <row r="995" spans="5:6" x14ac:dyDescent="0.35">
      <c r="E995"/>
      <c r="F995"/>
    </row>
    <row r="996" spans="5:6" x14ac:dyDescent="0.35">
      <c r="E996"/>
      <c r="F996"/>
    </row>
    <row r="997" spans="5:6" x14ac:dyDescent="0.35">
      <c r="E997"/>
      <c r="F997"/>
    </row>
    <row r="998" spans="5:6" x14ac:dyDescent="0.35">
      <c r="E998"/>
      <c r="F998"/>
    </row>
    <row r="999" spans="5:6" x14ac:dyDescent="0.35">
      <c r="E999"/>
      <c r="F999"/>
    </row>
    <row r="1000" spans="5:6" x14ac:dyDescent="0.35">
      <c r="E1000"/>
      <c r="F1000"/>
    </row>
    <row r="1001" spans="5:6" x14ac:dyDescent="0.35">
      <c r="E1001"/>
      <c r="F100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E1BF9-DFF9-4F6F-8D34-202A1A0438A7}">
  <dimension ref="A1:B6"/>
  <sheetViews>
    <sheetView zoomScaleNormal="100" workbookViewId="0">
      <selection activeCell="D16" sqref="D16"/>
    </sheetView>
  </sheetViews>
  <sheetFormatPr defaultRowHeight="14.5" x14ac:dyDescent="0.35"/>
  <cols>
    <col min="1" max="1" width="17.81640625" bestFit="1" customWidth="1"/>
  </cols>
  <sheetData>
    <row r="1" spans="1:2" x14ac:dyDescent="0.35">
      <c r="A1" s="22" t="s">
        <v>11</v>
      </c>
      <c r="B1" s="22"/>
    </row>
    <row r="2" spans="1:2" x14ac:dyDescent="0.35">
      <c r="A2" s="9" t="s">
        <v>15</v>
      </c>
    </row>
    <row r="3" spans="1:2" x14ac:dyDescent="0.35">
      <c r="A3" s="14" t="s">
        <v>17</v>
      </c>
    </row>
    <row r="4" spans="1:2" x14ac:dyDescent="0.35">
      <c r="A4" s="9" t="s">
        <v>48</v>
      </c>
    </row>
    <row r="5" spans="1:2" x14ac:dyDescent="0.35">
      <c r="A5" s="14" t="s">
        <v>21</v>
      </c>
    </row>
    <row r="6" spans="1:2" x14ac:dyDescent="0.35">
      <c r="A6" s="14" t="s">
        <v>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8427-584B-4C3B-95DA-1D4457F4EDAA}">
  <dimension ref="B3:J4"/>
  <sheetViews>
    <sheetView zoomScale="77" workbookViewId="0">
      <selection activeCell="Q54" sqref="Q54"/>
    </sheetView>
  </sheetViews>
  <sheetFormatPr defaultRowHeight="14.5" x14ac:dyDescent="0.35"/>
  <cols>
    <col min="2" max="2" width="18.6328125" bestFit="1" customWidth="1"/>
    <col min="3" max="5" width="15.36328125" bestFit="1" customWidth="1"/>
    <col min="6" max="6" width="26.36328125" bestFit="1" customWidth="1"/>
    <col min="7" max="9" width="15.36328125" bestFit="1" customWidth="1"/>
    <col min="10" max="10" width="15.453125" customWidth="1"/>
    <col min="11" max="361" width="15.36328125" bestFit="1" customWidth="1"/>
    <col min="362" max="362" width="12" bestFit="1" customWidth="1"/>
  </cols>
  <sheetData>
    <row r="3" spans="2:10" x14ac:dyDescent="0.35">
      <c r="B3" s="23" t="s">
        <v>49</v>
      </c>
      <c r="F3" s="23" t="s">
        <v>50</v>
      </c>
      <c r="J3" s="24" t="s">
        <v>51</v>
      </c>
    </row>
    <row r="4" spans="2:10" x14ac:dyDescent="0.35">
      <c r="B4" s="24">
        <v>10766628032.260996</v>
      </c>
      <c r="F4" s="24">
        <v>10849.390000000001</v>
      </c>
      <c r="J4" s="25">
        <v>11752639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3EF30-ECCB-4432-986F-D7DD457B4417}">
  <dimension ref="A1"/>
  <sheetViews>
    <sheetView tabSelected="1" zoomScale="32" zoomScaleNormal="80" workbookViewId="0">
      <selection activeCell="BK17" sqref="BK1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D35D3-983C-4ED8-BED7-01D50ECF61B4}">
  <dimension ref="G11:H16"/>
  <sheetViews>
    <sheetView workbookViewId="0">
      <selection activeCell="G11" sqref="G11"/>
    </sheetView>
  </sheetViews>
  <sheetFormatPr defaultRowHeight="14.5" x14ac:dyDescent="0.35"/>
  <cols>
    <col min="7" max="7" width="12.36328125" bestFit="1" customWidth="1"/>
    <col min="8" max="8" width="19.7265625" bestFit="1" customWidth="1"/>
  </cols>
  <sheetData>
    <row r="11" spans="7:8" x14ac:dyDescent="0.35">
      <c r="G11" s="18" t="s">
        <v>39</v>
      </c>
      <c r="H11" t="s">
        <v>52</v>
      </c>
    </row>
    <row r="12" spans="7:8" x14ac:dyDescent="0.35">
      <c r="G12" s="20" t="s">
        <v>12</v>
      </c>
      <c r="H12" s="26">
        <v>90</v>
      </c>
    </row>
    <row r="13" spans="7:8" x14ac:dyDescent="0.35">
      <c r="G13" s="20" t="s">
        <v>35</v>
      </c>
      <c r="H13" s="26">
        <v>90</v>
      </c>
    </row>
    <row r="14" spans="7:8" x14ac:dyDescent="0.35">
      <c r="G14" s="20" t="s">
        <v>36</v>
      </c>
      <c r="H14" s="26">
        <v>90</v>
      </c>
    </row>
    <row r="15" spans="7:8" x14ac:dyDescent="0.35">
      <c r="G15" s="20" t="s">
        <v>37</v>
      </c>
      <c r="H15" s="26">
        <v>90</v>
      </c>
    </row>
    <row r="16" spans="7:8" x14ac:dyDescent="0.35">
      <c r="G16" s="20" t="s">
        <v>38</v>
      </c>
      <c r="H16" s="26">
        <v>360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D9F4D-EE3F-4830-9F4D-4920900D1C16}">
  <dimension ref="A3:D190"/>
  <sheetViews>
    <sheetView topLeftCell="C146" zoomScale="34" workbookViewId="0">
      <selection activeCell="G29" sqref="G29"/>
    </sheetView>
  </sheetViews>
  <sheetFormatPr defaultRowHeight="14.5" x14ac:dyDescent="0.35"/>
  <cols>
    <col min="1" max="1" width="15.54296875" bestFit="1" customWidth="1"/>
    <col min="2" max="2" width="17.81640625" bestFit="1" customWidth="1"/>
    <col min="3" max="3" width="19" bestFit="1" customWidth="1"/>
    <col min="4" max="4" width="27.90625" bestFit="1" customWidth="1"/>
    <col min="5" max="31" width="28.6328125" bestFit="1" customWidth="1"/>
    <col min="32" max="32" width="33.54296875" bestFit="1" customWidth="1"/>
    <col min="33" max="33" width="26.7265625" bestFit="1" customWidth="1"/>
    <col min="34" max="39" width="4.81640625" bestFit="1" customWidth="1"/>
    <col min="40" max="40" width="3.81640625" bestFit="1" customWidth="1"/>
    <col min="41" max="73" width="4.81640625" bestFit="1" customWidth="1"/>
    <col min="74" max="74" width="3.81640625" bestFit="1" customWidth="1"/>
    <col min="75" max="89" width="4.81640625" bestFit="1" customWidth="1"/>
    <col min="90" max="90" width="3.81640625" bestFit="1" customWidth="1"/>
    <col min="91" max="98" width="4.81640625" bestFit="1" customWidth="1"/>
    <col min="99" max="99" width="3.81640625" bestFit="1" customWidth="1"/>
    <col min="100" max="122" width="4.81640625" bestFit="1" customWidth="1"/>
    <col min="123" max="123" width="3.81640625" bestFit="1" customWidth="1"/>
    <col min="124" max="131" width="4.81640625" bestFit="1" customWidth="1"/>
    <col min="132" max="132" width="3.81640625" bestFit="1" customWidth="1"/>
    <col min="133" max="138" width="4.81640625" bestFit="1" customWidth="1"/>
    <col min="139" max="139" width="3.81640625" bestFit="1" customWidth="1"/>
    <col min="140" max="143" width="4.81640625" bestFit="1" customWidth="1"/>
    <col min="144" max="144" width="3.81640625" bestFit="1" customWidth="1"/>
    <col min="145" max="159" width="4.81640625" bestFit="1" customWidth="1"/>
    <col min="160" max="160" width="1.81640625" bestFit="1" customWidth="1"/>
    <col min="161" max="168" width="4.81640625" bestFit="1" customWidth="1"/>
    <col min="169" max="169" width="3.81640625" bestFit="1" customWidth="1"/>
    <col min="170" max="179" width="4.81640625" bestFit="1" customWidth="1"/>
    <col min="180" max="180" width="3.81640625" bestFit="1" customWidth="1"/>
    <col min="181" max="192" width="4.81640625" bestFit="1" customWidth="1"/>
    <col min="193" max="193" width="3.81640625" bestFit="1" customWidth="1"/>
    <col min="194" max="229" width="4.81640625" bestFit="1" customWidth="1"/>
    <col min="230" max="230" width="3.81640625" bestFit="1" customWidth="1"/>
    <col min="231" max="234" width="4.81640625" bestFit="1" customWidth="1"/>
    <col min="235" max="235" width="1.81640625" bestFit="1" customWidth="1"/>
    <col min="236" max="239" width="4.81640625" bestFit="1" customWidth="1"/>
    <col min="240" max="240" width="3.81640625" bestFit="1" customWidth="1"/>
    <col min="241" max="247" width="4.81640625" bestFit="1" customWidth="1"/>
    <col min="248" max="248" width="3.81640625" bestFit="1" customWidth="1"/>
    <col min="249" max="252" width="4.81640625" bestFit="1" customWidth="1"/>
    <col min="253" max="253" width="3.81640625" bestFit="1" customWidth="1"/>
    <col min="254" max="256" width="4.81640625" bestFit="1" customWidth="1"/>
    <col min="257" max="257" width="3.81640625" bestFit="1" customWidth="1"/>
    <col min="258" max="261" width="4.81640625" bestFit="1" customWidth="1"/>
    <col min="262" max="262" width="3.81640625" bestFit="1" customWidth="1"/>
    <col min="263" max="266" width="4.81640625" bestFit="1" customWidth="1"/>
    <col min="267" max="267" width="3.81640625" bestFit="1" customWidth="1"/>
    <col min="268" max="276" width="4.81640625" bestFit="1" customWidth="1"/>
    <col min="277" max="277" width="10.7265625" bestFit="1" customWidth="1"/>
    <col min="278" max="291" width="5.81640625" bestFit="1" customWidth="1"/>
    <col min="292" max="292" width="4.81640625" bestFit="1" customWidth="1"/>
    <col min="293" max="296" width="5.81640625" bestFit="1" customWidth="1"/>
    <col min="297" max="297" width="4.81640625" bestFit="1" customWidth="1"/>
    <col min="298" max="311" width="5.81640625" bestFit="1" customWidth="1"/>
    <col min="312" max="312" width="4.81640625" bestFit="1" customWidth="1"/>
    <col min="313" max="315" width="5.81640625" bestFit="1" customWidth="1"/>
    <col min="316" max="316" width="4.81640625" bestFit="1" customWidth="1"/>
    <col min="317" max="323" width="5.81640625" bestFit="1" customWidth="1"/>
    <col min="324" max="324" width="4.81640625" bestFit="1" customWidth="1"/>
    <col min="325" max="334" width="5.81640625" bestFit="1" customWidth="1"/>
    <col min="335" max="336" width="6.81640625" bestFit="1" customWidth="1"/>
    <col min="337" max="337" width="5.81640625" bestFit="1" customWidth="1"/>
    <col min="338" max="340" width="6.81640625" bestFit="1" customWidth="1"/>
    <col min="341" max="341" width="5.81640625" bestFit="1" customWidth="1"/>
    <col min="342" max="346" width="6.81640625" bestFit="1" customWidth="1"/>
    <col min="347" max="347" width="10.7265625" bestFit="1" customWidth="1"/>
  </cols>
  <sheetData>
    <row r="3" spans="1:2" x14ac:dyDescent="0.35">
      <c r="A3" s="18" t="s">
        <v>39</v>
      </c>
      <c r="B3" t="s">
        <v>43</v>
      </c>
    </row>
    <row r="4" spans="1:2" x14ac:dyDescent="0.35">
      <c r="A4" s="20" t="s">
        <v>47</v>
      </c>
    </row>
    <row r="5" spans="1:2" x14ac:dyDescent="0.35">
      <c r="A5" s="20" t="s">
        <v>13</v>
      </c>
      <c r="B5">
        <v>34.349999999999987</v>
      </c>
    </row>
    <row r="6" spans="1:2" x14ac:dyDescent="0.35">
      <c r="A6" s="20" t="s">
        <v>22</v>
      </c>
      <c r="B6">
        <v>35.65</v>
      </c>
    </row>
    <row r="7" spans="1:2" x14ac:dyDescent="0.35">
      <c r="A7" s="20" t="s">
        <v>18</v>
      </c>
      <c r="B7">
        <v>39.319999999999993</v>
      </c>
    </row>
    <row r="8" spans="1:2" x14ac:dyDescent="0.35">
      <c r="A8" s="20" t="s">
        <v>16</v>
      </c>
      <c r="B8">
        <v>41.820000000000007</v>
      </c>
    </row>
    <row r="9" spans="1:2" x14ac:dyDescent="0.35">
      <c r="A9" s="20" t="s">
        <v>20</v>
      </c>
      <c r="B9">
        <v>47.539999999999992</v>
      </c>
    </row>
    <row r="10" spans="1:2" x14ac:dyDescent="0.35">
      <c r="A10" s="20" t="s">
        <v>28</v>
      </c>
      <c r="B10">
        <v>98.219999999999985</v>
      </c>
    </row>
    <row r="11" spans="1:2" x14ac:dyDescent="0.35">
      <c r="A11" s="20" t="s">
        <v>26</v>
      </c>
      <c r="B11">
        <v>102.39999999999999</v>
      </c>
    </row>
    <row r="12" spans="1:2" x14ac:dyDescent="0.35">
      <c r="A12" s="20" t="s">
        <v>33</v>
      </c>
      <c r="B12">
        <v>108.58</v>
      </c>
    </row>
    <row r="13" spans="1:2" x14ac:dyDescent="0.35">
      <c r="A13" s="20" t="s">
        <v>34</v>
      </c>
      <c r="B13">
        <v>112.14999999999999</v>
      </c>
    </row>
    <row r="14" spans="1:2" x14ac:dyDescent="0.35">
      <c r="A14" s="20" t="s">
        <v>25</v>
      </c>
      <c r="B14">
        <v>112.92999999999999</v>
      </c>
    </row>
    <row r="15" spans="1:2" x14ac:dyDescent="0.35">
      <c r="A15" s="20" t="s">
        <v>30</v>
      </c>
      <c r="B15">
        <v>113.77</v>
      </c>
    </row>
    <row r="16" spans="1:2" x14ac:dyDescent="0.35">
      <c r="A16" s="20" t="s">
        <v>23</v>
      </c>
      <c r="B16">
        <v>118.86999999999998</v>
      </c>
    </row>
    <row r="17" spans="1:2" x14ac:dyDescent="0.35">
      <c r="A17" s="20" t="s">
        <v>29</v>
      </c>
      <c r="B17">
        <v>119.72999999999998</v>
      </c>
    </row>
    <row r="18" spans="1:2" x14ac:dyDescent="0.35">
      <c r="A18" s="20" t="s">
        <v>32</v>
      </c>
      <c r="B18">
        <v>124.93999999999997</v>
      </c>
    </row>
    <row r="19" spans="1:2" x14ac:dyDescent="0.35">
      <c r="A19" s="20" t="s">
        <v>31</v>
      </c>
      <c r="B19">
        <v>127.55000000000001</v>
      </c>
    </row>
    <row r="20" spans="1:2" x14ac:dyDescent="0.35">
      <c r="A20" s="20" t="s">
        <v>38</v>
      </c>
      <c r="B20">
        <v>1337.82</v>
      </c>
    </row>
    <row r="33" spans="2:4" x14ac:dyDescent="0.35">
      <c r="B33" s="18" t="s">
        <v>39</v>
      </c>
      <c r="C33" t="s">
        <v>44</v>
      </c>
      <c r="D33" t="s">
        <v>41</v>
      </c>
    </row>
    <row r="34" spans="2:4" x14ac:dyDescent="0.35">
      <c r="B34" s="20" t="s">
        <v>32</v>
      </c>
      <c r="C34" s="21">
        <v>1707.6200000000001</v>
      </c>
      <c r="D34" s="21">
        <v>650.54999999999973</v>
      </c>
    </row>
    <row r="35" spans="2:4" x14ac:dyDescent="0.35">
      <c r="B35" s="20" t="s">
        <v>23</v>
      </c>
      <c r="C35" s="21">
        <v>1608.3400000000001</v>
      </c>
      <c r="D35" s="21">
        <v>748.03000000000009</v>
      </c>
    </row>
    <row r="36" spans="2:4" x14ac:dyDescent="0.35">
      <c r="B36" s="20" t="s">
        <v>25</v>
      </c>
      <c r="C36" s="21">
        <v>1653.13</v>
      </c>
      <c r="D36" s="21">
        <v>873.61999999999989</v>
      </c>
    </row>
    <row r="37" spans="2:4" x14ac:dyDescent="0.35">
      <c r="B37" s="20" t="s">
        <v>26</v>
      </c>
      <c r="C37" s="21">
        <v>1677.0600000000002</v>
      </c>
      <c r="D37" s="21">
        <v>796.82999999999981</v>
      </c>
    </row>
    <row r="38" spans="2:4" x14ac:dyDescent="0.35">
      <c r="B38" s="20" t="s">
        <v>16</v>
      </c>
      <c r="C38" s="21">
        <v>1447.8699999999997</v>
      </c>
      <c r="D38" s="21">
        <v>579.04999999999995</v>
      </c>
    </row>
    <row r="39" spans="2:4" x14ac:dyDescent="0.35">
      <c r="B39" s="20" t="s">
        <v>20</v>
      </c>
      <c r="C39" s="21">
        <v>1504.44</v>
      </c>
      <c r="D39" s="21">
        <v>545.66</v>
      </c>
    </row>
    <row r="40" spans="2:4" x14ac:dyDescent="0.35">
      <c r="B40" s="20" t="s">
        <v>13</v>
      </c>
      <c r="C40" s="21">
        <v>1300.0199999999998</v>
      </c>
      <c r="D40" s="21">
        <v>671.32</v>
      </c>
    </row>
    <row r="41" spans="2:4" x14ac:dyDescent="0.35">
      <c r="B41" s="20" t="s">
        <v>18</v>
      </c>
      <c r="C41" s="21">
        <v>1350.7299999999998</v>
      </c>
      <c r="D41" s="21">
        <v>470.84</v>
      </c>
    </row>
    <row r="42" spans="2:4" x14ac:dyDescent="0.35">
      <c r="B42" s="20" t="s">
        <v>22</v>
      </c>
      <c r="C42" s="21">
        <v>1452.5599999999997</v>
      </c>
      <c r="D42" s="21">
        <v>664.74000000000012</v>
      </c>
    </row>
    <row r="43" spans="2:4" x14ac:dyDescent="0.35">
      <c r="B43" s="20" t="s">
        <v>30</v>
      </c>
      <c r="C43" s="21">
        <v>1634.73</v>
      </c>
      <c r="D43" s="21">
        <v>771.76999999999987</v>
      </c>
    </row>
    <row r="44" spans="2:4" x14ac:dyDescent="0.35">
      <c r="B44" s="20" t="s">
        <v>33</v>
      </c>
      <c r="C44" s="21">
        <v>1869.7099999999998</v>
      </c>
      <c r="D44" s="21">
        <v>767.55000000000007</v>
      </c>
    </row>
    <row r="45" spans="2:4" x14ac:dyDescent="0.35">
      <c r="B45" s="20" t="s">
        <v>29</v>
      </c>
      <c r="C45" s="21">
        <v>1725.9499999999996</v>
      </c>
      <c r="D45" s="21">
        <v>667.89</v>
      </c>
    </row>
    <row r="46" spans="2:4" x14ac:dyDescent="0.35">
      <c r="B46" s="20" t="s">
        <v>34</v>
      </c>
      <c r="C46" s="21">
        <v>1720.57</v>
      </c>
      <c r="D46" s="21">
        <v>932.74999999999977</v>
      </c>
    </row>
    <row r="47" spans="2:4" x14ac:dyDescent="0.35">
      <c r="B47" s="20" t="s">
        <v>28</v>
      </c>
      <c r="C47" s="21">
        <v>1873.61</v>
      </c>
      <c r="D47" s="21">
        <v>841.62000000000012</v>
      </c>
    </row>
    <row r="48" spans="2:4" x14ac:dyDescent="0.35">
      <c r="B48" s="20" t="s">
        <v>31</v>
      </c>
      <c r="C48" s="21">
        <v>1552.3299999999997</v>
      </c>
      <c r="D48" s="21">
        <v>867.17000000000007</v>
      </c>
    </row>
    <row r="49" spans="2:4" x14ac:dyDescent="0.35">
      <c r="B49" s="20" t="s">
        <v>47</v>
      </c>
      <c r="C49" s="21"/>
      <c r="D49" s="21"/>
    </row>
    <row r="50" spans="2:4" x14ac:dyDescent="0.35">
      <c r="B50" s="20" t="s">
        <v>38</v>
      </c>
      <c r="C50" s="21">
        <v>24078.67</v>
      </c>
      <c r="D50" s="21">
        <v>10849.39</v>
      </c>
    </row>
    <row r="87" spans="2:4" x14ac:dyDescent="0.35">
      <c r="B87" s="18" t="s">
        <v>39</v>
      </c>
      <c r="C87" t="s">
        <v>45</v>
      </c>
      <c r="D87" t="s">
        <v>46</v>
      </c>
    </row>
    <row r="88" spans="2:4" x14ac:dyDescent="0.35">
      <c r="B88" s="20" t="s">
        <v>15</v>
      </c>
      <c r="C88">
        <v>12256.120000000003</v>
      </c>
      <c r="D88">
        <v>4446.7099999999991</v>
      </c>
    </row>
    <row r="89" spans="2:4" x14ac:dyDescent="0.35">
      <c r="B89" s="20" t="s">
        <v>27</v>
      </c>
      <c r="C89">
        <v>12181.220000000005</v>
      </c>
      <c r="D89">
        <v>4697.2499999999991</v>
      </c>
    </row>
    <row r="90" spans="2:4" x14ac:dyDescent="0.35">
      <c r="B90" s="20" t="s">
        <v>17</v>
      </c>
      <c r="C90">
        <v>12538.999999999998</v>
      </c>
      <c r="D90">
        <v>4947.68</v>
      </c>
    </row>
    <row r="91" spans="2:4" x14ac:dyDescent="0.35">
      <c r="B91" s="20" t="s">
        <v>19</v>
      </c>
      <c r="C91">
        <v>13153.470000000001</v>
      </c>
      <c r="D91">
        <v>4738.5400000000009</v>
      </c>
    </row>
    <row r="92" spans="2:4" x14ac:dyDescent="0.35">
      <c r="B92" s="20" t="s">
        <v>21</v>
      </c>
      <c r="C92">
        <v>14660.450000000003</v>
      </c>
      <c r="D92">
        <v>5394.8599999999988</v>
      </c>
    </row>
    <row r="93" spans="2:4" x14ac:dyDescent="0.35">
      <c r="B93" s="20" t="s">
        <v>47</v>
      </c>
    </row>
    <row r="94" spans="2:4" x14ac:dyDescent="0.35">
      <c r="B94" s="20" t="s">
        <v>38</v>
      </c>
      <c r="C94">
        <v>64790.260000000009</v>
      </c>
      <c r="D94">
        <v>24225.040000000001</v>
      </c>
    </row>
    <row r="115" spans="3:4" x14ac:dyDescent="0.35">
      <c r="C115" s="18" t="s">
        <v>39</v>
      </c>
      <c r="D115" t="s">
        <v>42</v>
      </c>
    </row>
    <row r="116" spans="3:4" x14ac:dyDescent="0.35">
      <c r="C116" s="20" t="s">
        <v>12</v>
      </c>
      <c r="D116" s="1">
        <v>2989310</v>
      </c>
    </row>
    <row r="117" spans="3:4" x14ac:dyDescent="0.35">
      <c r="C117" s="20" t="s">
        <v>35</v>
      </c>
      <c r="D117" s="1">
        <v>2764121</v>
      </c>
    </row>
    <row r="118" spans="3:4" x14ac:dyDescent="0.35">
      <c r="C118" s="20" t="s">
        <v>36</v>
      </c>
      <c r="D118" s="1">
        <v>3170305</v>
      </c>
    </row>
    <row r="119" spans="3:4" x14ac:dyDescent="0.35">
      <c r="C119" s="20" t="s">
        <v>37</v>
      </c>
      <c r="D119" s="1">
        <v>2828903</v>
      </c>
    </row>
    <row r="120" spans="3:4" x14ac:dyDescent="0.35">
      <c r="C120" s="20" t="s">
        <v>47</v>
      </c>
      <c r="D120" s="1"/>
    </row>
    <row r="121" spans="3:4" x14ac:dyDescent="0.35">
      <c r="C121" s="20" t="s">
        <v>38</v>
      </c>
      <c r="D121" s="1">
        <v>11752639</v>
      </c>
    </row>
    <row r="140" spans="2:3" x14ac:dyDescent="0.35">
      <c r="B140" s="18" t="s">
        <v>39</v>
      </c>
      <c r="C140" t="s">
        <v>40</v>
      </c>
    </row>
    <row r="141" spans="2:3" x14ac:dyDescent="0.35">
      <c r="B141" s="20" t="s">
        <v>32</v>
      </c>
      <c r="C141" s="19">
        <v>913122400.15600002</v>
      </c>
    </row>
    <row r="142" spans="2:3" x14ac:dyDescent="0.35">
      <c r="B142" s="20" t="s">
        <v>33</v>
      </c>
      <c r="C142" s="19">
        <v>894821860.85599947</v>
      </c>
    </row>
    <row r="143" spans="2:3" x14ac:dyDescent="0.35">
      <c r="B143" s="20" t="s">
        <v>30</v>
      </c>
      <c r="C143" s="19">
        <v>870634307.43199968</v>
      </c>
    </row>
    <row r="144" spans="2:3" x14ac:dyDescent="0.35">
      <c r="B144" s="20" t="s">
        <v>25</v>
      </c>
      <c r="C144" s="19">
        <v>863073279.52399993</v>
      </c>
    </row>
    <row r="145" spans="2:3" x14ac:dyDescent="0.35">
      <c r="B145" s="20" t="s">
        <v>28</v>
      </c>
      <c r="C145" s="19">
        <v>824920697.29599988</v>
      </c>
    </row>
    <row r="146" spans="2:3" x14ac:dyDescent="0.35">
      <c r="B146" s="20" t="s">
        <v>26</v>
      </c>
      <c r="C146" s="19">
        <v>773100349.06399965</v>
      </c>
    </row>
    <row r="147" spans="2:3" x14ac:dyDescent="0.35">
      <c r="B147" s="20" t="s">
        <v>29</v>
      </c>
      <c r="C147" s="19">
        <v>765159008.18599999</v>
      </c>
    </row>
    <row r="148" spans="2:3" x14ac:dyDescent="0.35">
      <c r="B148" s="20" t="s">
        <v>23</v>
      </c>
      <c r="C148" s="19">
        <v>716143586.88999999</v>
      </c>
    </row>
    <row r="149" spans="2:3" x14ac:dyDescent="0.35">
      <c r="B149" s="20" t="s">
        <v>31</v>
      </c>
      <c r="C149" s="19">
        <v>681010938.3719995</v>
      </c>
    </row>
    <row r="150" spans="2:3" x14ac:dyDescent="0.35">
      <c r="B150" s="20" t="s">
        <v>34</v>
      </c>
      <c r="C150" s="19">
        <v>629567815.69200003</v>
      </c>
    </row>
    <row r="151" spans="2:3" x14ac:dyDescent="0.35">
      <c r="B151" s="20" t="s">
        <v>20</v>
      </c>
      <c r="C151" s="19">
        <v>617986264.64199996</v>
      </c>
    </row>
    <row r="152" spans="2:3" x14ac:dyDescent="0.35">
      <c r="B152" s="20" t="s">
        <v>22</v>
      </c>
      <c r="C152" s="19">
        <v>606237536.37600005</v>
      </c>
    </row>
    <row r="153" spans="2:3" x14ac:dyDescent="0.35">
      <c r="B153" s="20" t="s">
        <v>16</v>
      </c>
      <c r="C153" s="19">
        <v>574059943.65799999</v>
      </c>
    </row>
    <row r="154" spans="2:3" x14ac:dyDescent="0.35">
      <c r="B154" s="20" t="s">
        <v>13</v>
      </c>
      <c r="C154" s="19">
        <v>522440384.89599997</v>
      </c>
    </row>
    <row r="155" spans="2:3" x14ac:dyDescent="0.35">
      <c r="B155" s="20" t="s">
        <v>18</v>
      </c>
      <c r="C155" s="19">
        <v>514349659.22099984</v>
      </c>
    </row>
    <row r="156" spans="2:3" x14ac:dyDescent="0.35">
      <c r="B156" s="20" t="s">
        <v>47</v>
      </c>
      <c r="C156" s="19"/>
    </row>
    <row r="157" spans="2:3" x14ac:dyDescent="0.35">
      <c r="B157" s="20" t="s">
        <v>38</v>
      </c>
      <c r="C157" s="19">
        <v>10766628032.260998</v>
      </c>
    </row>
    <row r="183" spans="2:3" x14ac:dyDescent="0.35">
      <c r="B183" s="18" t="s">
        <v>39</v>
      </c>
      <c r="C183" t="s">
        <v>40</v>
      </c>
    </row>
    <row r="184" spans="2:3" x14ac:dyDescent="0.35">
      <c r="B184" s="20" t="s">
        <v>15</v>
      </c>
      <c r="C184" s="19">
        <v>2085855500.1009994</v>
      </c>
    </row>
    <row r="185" spans="2:3" x14ac:dyDescent="0.35">
      <c r="B185" s="20" t="s">
        <v>27</v>
      </c>
      <c r="C185" s="19">
        <v>2044056723.3779998</v>
      </c>
    </row>
    <row r="186" spans="2:3" x14ac:dyDescent="0.35">
      <c r="B186" s="20" t="s">
        <v>17</v>
      </c>
      <c r="C186" s="19">
        <v>2442049419.2949996</v>
      </c>
    </row>
    <row r="187" spans="2:3" x14ac:dyDescent="0.35">
      <c r="B187" s="20" t="s">
        <v>19</v>
      </c>
      <c r="C187" s="19">
        <v>1870852051.9140003</v>
      </c>
    </row>
    <row r="188" spans="2:3" x14ac:dyDescent="0.35">
      <c r="B188" s="20" t="s">
        <v>21</v>
      </c>
      <c r="C188" s="19">
        <v>2323814337.5730004</v>
      </c>
    </row>
    <row r="189" spans="2:3" x14ac:dyDescent="0.35">
      <c r="B189" s="20" t="s">
        <v>47</v>
      </c>
      <c r="C189" s="19"/>
    </row>
    <row r="190" spans="2:3" x14ac:dyDescent="0.35">
      <c r="B190" s="20" t="s">
        <v>38</v>
      </c>
      <c r="C190" s="19">
        <v>10766628032.261</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Expanded_Dataset (1)</vt:lpstr>
      <vt:lpstr>Sheet4</vt:lpstr>
      <vt:lpstr>Sheet1</vt:lpstr>
      <vt:lpstr>Sheet3</vt:lpstr>
      <vt:lpstr>Sheet5</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Khushi Khopade</cp:lastModifiedBy>
  <dcterms:created xsi:type="dcterms:W3CDTF">2025-11-01T08:19:35Z</dcterms:created>
  <dcterms:modified xsi:type="dcterms:W3CDTF">2026-05-13T05:53:54Z</dcterms:modified>
</cp:coreProperties>
</file>